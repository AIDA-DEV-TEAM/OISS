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tan\Downloads\"/>
    </mc:Choice>
  </mc:AlternateContent>
  <xr:revisionPtr revIDLastSave="0" documentId="8_{E2650A18-3550-4771-9786-37E438D231AD}" xr6:coauthVersionLast="47" xr6:coauthVersionMax="47" xr10:uidLastSave="{00000000-0000-0000-0000-000000000000}"/>
  <bookViews>
    <workbookView xWindow="-108" yWindow="-108" windowWidth="23256" windowHeight="12456" xr2:uid="{9C25F6E6-FD6A-485C-B4D5-2BEA3B5C6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E37" i="1" l="1"/>
  <c r="GG37" i="1" s="1"/>
  <c r="GD37" i="1"/>
  <c r="GF37" i="1" s="1"/>
  <c r="GC37" i="1"/>
  <c r="GB37" i="1"/>
  <c r="FX37" i="1"/>
  <c r="FZ37" i="1" s="1"/>
  <c r="FT37" i="1"/>
  <c r="FS37" i="1"/>
  <c r="FR37" i="1"/>
  <c r="EZ37" i="1"/>
  <c r="EY37" i="1"/>
  <c r="EX37" i="1"/>
  <c r="EW37" i="1"/>
  <c r="EV37" i="1"/>
  <c r="EU37" i="1"/>
  <c r="ET37" i="1"/>
  <c r="ES37" i="1"/>
  <c r="ER37" i="1"/>
  <c r="EQ37" i="1"/>
  <c r="EK37" i="1"/>
  <c r="EJ37" i="1"/>
  <c r="DV37" i="1"/>
  <c r="DU37" i="1"/>
  <c r="DN37" i="1"/>
  <c r="DM37" i="1"/>
  <c r="DL37" i="1"/>
  <c r="DK37" i="1"/>
  <c r="DJ37" i="1"/>
  <c r="DB37" i="1"/>
  <c r="DA37" i="1"/>
  <c r="CZ37" i="1"/>
  <c r="CY37" i="1"/>
  <c r="CX37" i="1"/>
  <c r="CW37" i="1"/>
  <c r="CV37" i="1"/>
  <c r="CU37" i="1"/>
  <c r="CT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D37" i="1"/>
  <c r="BL37" i="1"/>
  <c r="BK37" i="1"/>
  <c r="BJ37" i="1"/>
  <c r="BE37" i="1"/>
  <c r="BI37" i="1" s="1"/>
  <c r="AN37" i="1"/>
  <c r="AI37" i="1"/>
  <c r="AH37" i="1"/>
  <c r="AG37" i="1"/>
  <c r="AD37" i="1"/>
  <c r="AJ37" i="1" s="1"/>
  <c r="AA37" i="1"/>
  <c r="X37" i="1"/>
  <c r="U37" i="1"/>
  <c r="Q37" i="1"/>
  <c r="GG36" i="1"/>
  <c r="GF36" i="1"/>
  <c r="FX36" i="1"/>
  <c r="FZ36" i="1" s="1"/>
  <c r="CD36" i="1"/>
  <c r="BE36" i="1"/>
  <c r="BL36" i="1" s="1"/>
  <c r="AN36" i="1"/>
  <c r="AJ36" i="1"/>
  <c r="AI36" i="1"/>
  <c r="AH36" i="1"/>
  <c r="AG36" i="1"/>
  <c r="AD36" i="1"/>
  <c r="AA36" i="1"/>
  <c r="X36" i="1"/>
  <c r="U36" i="1"/>
  <c r="Q36" i="1"/>
  <c r="GG35" i="1"/>
  <c r="GF35" i="1"/>
  <c r="FX35" i="1"/>
  <c r="FZ35" i="1" s="1"/>
  <c r="CD35" i="1"/>
  <c r="BL35" i="1"/>
  <c r="BK35" i="1"/>
  <c r="BJ35" i="1"/>
  <c r="BE35" i="1"/>
  <c r="BI35" i="1" s="1"/>
  <c r="AN35" i="1"/>
  <c r="AI35" i="1"/>
  <c r="AH35" i="1"/>
  <c r="AG35" i="1"/>
  <c r="AD35" i="1"/>
  <c r="AJ35" i="1" s="1"/>
  <c r="AA35" i="1"/>
  <c r="X35" i="1"/>
  <c r="U35" i="1"/>
  <c r="Q35" i="1"/>
  <c r="GG34" i="1"/>
  <c r="GF34" i="1"/>
  <c r="FX34" i="1"/>
  <c r="FZ34" i="1" s="1"/>
  <c r="CD34" i="1"/>
  <c r="BE34" i="1"/>
  <c r="BJ34" i="1" s="1"/>
  <c r="AN34" i="1"/>
  <c r="AJ34" i="1"/>
  <c r="AI34" i="1"/>
  <c r="AH34" i="1"/>
  <c r="AG34" i="1"/>
  <c r="AD34" i="1"/>
  <c r="AA34" i="1"/>
  <c r="X34" i="1"/>
  <c r="U34" i="1"/>
  <c r="Q34" i="1"/>
  <c r="GG33" i="1"/>
  <c r="GF33" i="1"/>
  <c r="FX33" i="1"/>
  <c r="FZ33" i="1" s="1"/>
  <c r="CD33" i="1"/>
  <c r="BL33" i="1"/>
  <c r="BK33" i="1"/>
  <c r="BJ33" i="1"/>
  <c r="BI33" i="1"/>
  <c r="BE33" i="1"/>
  <c r="AN33" i="1"/>
  <c r="AI33" i="1"/>
  <c r="AH33" i="1"/>
  <c r="AG33" i="1"/>
  <c r="AD33" i="1"/>
  <c r="AJ33" i="1" s="1"/>
  <c r="AA33" i="1"/>
  <c r="X33" i="1"/>
  <c r="U33" i="1"/>
  <c r="Q33" i="1"/>
  <c r="GG32" i="1"/>
  <c r="GF32" i="1"/>
  <c r="FX32" i="1"/>
  <c r="FZ32" i="1" s="1"/>
  <c r="CD32" i="1"/>
  <c r="BE32" i="1"/>
  <c r="BL32" i="1" s="1"/>
  <c r="AN32" i="1"/>
  <c r="AJ32" i="1"/>
  <c r="AI32" i="1"/>
  <c r="AH32" i="1"/>
  <c r="AG32" i="1"/>
  <c r="AD32" i="1"/>
  <c r="AA32" i="1"/>
  <c r="X32" i="1"/>
  <c r="U32" i="1"/>
  <c r="Q32" i="1"/>
  <c r="GG31" i="1"/>
  <c r="GF31" i="1"/>
  <c r="FX31" i="1"/>
  <c r="FZ31" i="1" s="1"/>
  <c r="CD31" i="1"/>
  <c r="BL31" i="1"/>
  <c r="BK31" i="1"/>
  <c r="BJ31" i="1"/>
  <c r="BI31" i="1"/>
  <c r="BE31" i="1"/>
  <c r="AN31" i="1"/>
  <c r="AI31" i="1"/>
  <c r="AH31" i="1"/>
  <c r="AG31" i="1"/>
  <c r="AD31" i="1"/>
  <c r="AJ31" i="1" s="1"/>
  <c r="AA31" i="1"/>
  <c r="X31" i="1"/>
  <c r="U31" i="1"/>
  <c r="Q31" i="1"/>
  <c r="GG30" i="1"/>
  <c r="GF30" i="1"/>
  <c r="FX30" i="1"/>
  <c r="FZ30" i="1" s="1"/>
  <c r="CD30" i="1"/>
  <c r="BE30" i="1"/>
  <c r="BJ30" i="1" s="1"/>
  <c r="AN30" i="1"/>
  <c r="AJ30" i="1"/>
  <c r="AI30" i="1"/>
  <c r="AH30" i="1"/>
  <c r="AG30" i="1"/>
  <c r="AD30" i="1"/>
  <c r="AA30" i="1"/>
  <c r="X30" i="1"/>
  <c r="U30" i="1"/>
  <c r="Q30" i="1"/>
  <c r="GG29" i="1"/>
  <c r="GF29" i="1"/>
  <c r="FX29" i="1"/>
  <c r="FZ29" i="1" s="1"/>
  <c r="CD29" i="1"/>
  <c r="BL29" i="1"/>
  <c r="BK29" i="1"/>
  <c r="BJ29" i="1"/>
  <c r="BI29" i="1"/>
  <c r="BE29" i="1"/>
  <c r="AN29" i="1"/>
  <c r="AI29" i="1"/>
  <c r="AH29" i="1"/>
  <c r="AG29" i="1"/>
  <c r="AD29" i="1"/>
  <c r="AJ29" i="1" s="1"/>
  <c r="AA29" i="1"/>
  <c r="X29" i="1"/>
  <c r="U29" i="1"/>
  <c r="Q29" i="1"/>
  <c r="GG28" i="1"/>
  <c r="GF28" i="1"/>
  <c r="FX28" i="1"/>
  <c r="FZ28" i="1" s="1"/>
  <c r="CD28" i="1"/>
  <c r="BE28" i="1"/>
  <c r="BI28" i="1" s="1"/>
  <c r="AN28" i="1"/>
  <c r="AJ28" i="1"/>
  <c r="AI28" i="1"/>
  <c r="AH28" i="1"/>
  <c r="AG28" i="1"/>
  <c r="AD28" i="1"/>
  <c r="AA28" i="1"/>
  <c r="X28" i="1"/>
  <c r="U28" i="1"/>
  <c r="Q28" i="1"/>
  <c r="GG27" i="1"/>
  <c r="GF27" i="1"/>
  <c r="FX27" i="1"/>
  <c r="FZ27" i="1" s="1"/>
  <c r="CD27" i="1"/>
  <c r="BL27" i="1"/>
  <c r="BK27" i="1"/>
  <c r="BJ27" i="1"/>
  <c r="BE27" i="1"/>
  <c r="BI27" i="1" s="1"/>
  <c r="AN27" i="1"/>
  <c r="AI27" i="1"/>
  <c r="AH27" i="1"/>
  <c r="AG27" i="1"/>
  <c r="AD27" i="1"/>
  <c r="AJ27" i="1" s="1"/>
  <c r="AA27" i="1"/>
  <c r="X27" i="1"/>
  <c r="U27" i="1"/>
  <c r="Q27" i="1"/>
  <c r="GG26" i="1"/>
  <c r="GF26" i="1"/>
  <c r="FX26" i="1"/>
  <c r="FZ26" i="1" s="1"/>
  <c r="CD26" i="1"/>
  <c r="BE26" i="1"/>
  <c r="BI26" i="1" s="1"/>
  <c r="AN26" i="1"/>
  <c r="AJ26" i="1"/>
  <c r="AI26" i="1"/>
  <c r="AH26" i="1"/>
  <c r="AG26" i="1"/>
  <c r="AD26" i="1"/>
  <c r="AA26" i="1"/>
  <c r="X26" i="1"/>
  <c r="U26" i="1"/>
  <c r="Q26" i="1"/>
  <c r="GG25" i="1"/>
  <c r="GF25" i="1"/>
  <c r="FX25" i="1"/>
  <c r="FZ25" i="1" s="1"/>
  <c r="CD25" i="1"/>
  <c r="BL25" i="1"/>
  <c r="BK25" i="1"/>
  <c r="BJ25" i="1"/>
  <c r="BE25" i="1"/>
  <c r="BI25" i="1" s="1"/>
  <c r="AN25" i="1"/>
  <c r="AI25" i="1"/>
  <c r="AH25" i="1"/>
  <c r="AG25" i="1"/>
  <c r="AD25" i="1"/>
  <c r="AJ25" i="1" s="1"/>
  <c r="AA25" i="1"/>
  <c r="X25" i="1"/>
  <c r="U25" i="1"/>
  <c r="Q25" i="1"/>
  <c r="GG24" i="1"/>
  <c r="GF24" i="1"/>
  <c r="FX24" i="1"/>
  <c r="FZ24" i="1" s="1"/>
  <c r="CD24" i="1"/>
  <c r="BE24" i="1"/>
  <c r="BL24" i="1" s="1"/>
  <c r="AN24" i="1"/>
  <c r="AJ24" i="1"/>
  <c r="AI24" i="1"/>
  <c r="AH24" i="1"/>
  <c r="AG24" i="1"/>
  <c r="AD24" i="1"/>
  <c r="AA24" i="1"/>
  <c r="X24" i="1"/>
  <c r="U24" i="1"/>
  <c r="Q24" i="1"/>
  <c r="GG23" i="1"/>
  <c r="GF23" i="1"/>
  <c r="FX23" i="1"/>
  <c r="FZ23" i="1" s="1"/>
  <c r="CD23" i="1"/>
  <c r="BL23" i="1"/>
  <c r="BK23" i="1"/>
  <c r="BJ23" i="1"/>
  <c r="BI23" i="1"/>
  <c r="BE23" i="1"/>
  <c r="AN23" i="1"/>
  <c r="AI23" i="1"/>
  <c r="AH23" i="1"/>
  <c r="AG23" i="1"/>
  <c r="AD23" i="1"/>
  <c r="AJ23" i="1" s="1"/>
  <c r="AA23" i="1"/>
  <c r="X23" i="1"/>
  <c r="U23" i="1"/>
  <c r="Q23" i="1"/>
  <c r="GG22" i="1"/>
  <c r="GF22" i="1"/>
  <c r="FX22" i="1"/>
  <c r="FZ22" i="1" s="1"/>
  <c r="CD22" i="1"/>
  <c r="BE22" i="1"/>
  <c r="BL22" i="1" s="1"/>
  <c r="AN22" i="1"/>
  <c r="AJ22" i="1"/>
  <c r="AI22" i="1"/>
  <c r="AH22" i="1"/>
  <c r="AG22" i="1"/>
  <c r="AD22" i="1"/>
  <c r="AA22" i="1"/>
  <c r="X22" i="1"/>
  <c r="U22" i="1"/>
  <c r="Q22" i="1"/>
  <c r="GG21" i="1"/>
  <c r="GF21" i="1"/>
  <c r="FX21" i="1"/>
  <c r="FZ21" i="1" s="1"/>
  <c r="CD21" i="1"/>
  <c r="BL21" i="1"/>
  <c r="BK21" i="1"/>
  <c r="BJ21" i="1"/>
  <c r="BI21" i="1"/>
  <c r="BE21" i="1"/>
  <c r="AN21" i="1"/>
  <c r="AI21" i="1"/>
  <c r="AH21" i="1"/>
  <c r="AG21" i="1"/>
  <c r="AD21" i="1"/>
  <c r="AJ21" i="1" s="1"/>
  <c r="AA21" i="1"/>
  <c r="X21" i="1"/>
  <c r="U21" i="1"/>
  <c r="Q21" i="1"/>
  <c r="GG20" i="1"/>
  <c r="GF20" i="1"/>
  <c r="FX20" i="1"/>
  <c r="FZ20" i="1" s="1"/>
  <c r="CD20" i="1"/>
  <c r="BE20" i="1"/>
  <c r="BJ20" i="1" s="1"/>
  <c r="AN20" i="1"/>
  <c r="AJ20" i="1"/>
  <c r="AI20" i="1"/>
  <c r="AH20" i="1"/>
  <c r="AG20" i="1"/>
  <c r="AD20" i="1"/>
  <c r="AA20" i="1"/>
  <c r="X20" i="1"/>
  <c r="U20" i="1"/>
  <c r="Q20" i="1"/>
  <c r="GG19" i="1"/>
  <c r="GF19" i="1"/>
  <c r="FX19" i="1"/>
  <c r="FZ19" i="1" s="1"/>
  <c r="CD19" i="1"/>
  <c r="BL19" i="1"/>
  <c r="BK19" i="1"/>
  <c r="BJ19" i="1"/>
  <c r="BI19" i="1"/>
  <c r="BE19" i="1"/>
  <c r="AN19" i="1"/>
  <c r="AI19" i="1"/>
  <c r="AH19" i="1"/>
  <c r="AG19" i="1"/>
  <c r="AD19" i="1"/>
  <c r="AJ19" i="1" s="1"/>
  <c r="AA19" i="1"/>
  <c r="X19" i="1"/>
  <c r="U19" i="1"/>
  <c r="Q19" i="1"/>
  <c r="GG18" i="1"/>
  <c r="GF18" i="1"/>
  <c r="FX18" i="1"/>
  <c r="FZ18" i="1" s="1"/>
  <c r="CD18" i="1"/>
  <c r="BE18" i="1"/>
  <c r="BL18" i="1" s="1"/>
  <c r="AN18" i="1"/>
  <c r="AJ18" i="1"/>
  <c r="AI18" i="1"/>
  <c r="AH18" i="1"/>
  <c r="AG18" i="1"/>
  <c r="AD18" i="1"/>
  <c r="AA18" i="1"/>
  <c r="X18" i="1"/>
  <c r="U18" i="1"/>
  <c r="Q18" i="1"/>
  <c r="GG17" i="1"/>
  <c r="GF17" i="1"/>
  <c r="FX17" i="1"/>
  <c r="FZ17" i="1" s="1"/>
  <c r="CD17" i="1"/>
  <c r="BL17" i="1"/>
  <c r="BK17" i="1"/>
  <c r="BJ17" i="1"/>
  <c r="BI17" i="1"/>
  <c r="BE17" i="1"/>
  <c r="AN17" i="1"/>
  <c r="AI17" i="1"/>
  <c r="AH17" i="1"/>
  <c r="AG17" i="1"/>
  <c r="AD17" i="1"/>
  <c r="AJ17" i="1" s="1"/>
  <c r="AA17" i="1"/>
  <c r="X17" i="1"/>
  <c r="U17" i="1"/>
  <c r="Q17" i="1"/>
  <c r="GG16" i="1"/>
  <c r="GF16" i="1"/>
  <c r="FX16" i="1"/>
  <c r="FZ16" i="1" s="1"/>
  <c r="CD16" i="1"/>
  <c r="BE16" i="1"/>
  <c r="BI16" i="1" s="1"/>
  <c r="AN16" i="1"/>
  <c r="AJ16" i="1"/>
  <c r="AI16" i="1"/>
  <c r="AH16" i="1"/>
  <c r="AG16" i="1"/>
  <c r="AD16" i="1"/>
  <c r="AA16" i="1"/>
  <c r="X16" i="1"/>
  <c r="U16" i="1"/>
  <c r="Q16" i="1"/>
  <c r="GG15" i="1"/>
  <c r="GF15" i="1"/>
  <c r="FX15" i="1"/>
  <c r="FZ15" i="1" s="1"/>
  <c r="CD15" i="1"/>
  <c r="BL15" i="1"/>
  <c r="BK15" i="1"/>
  <c r="BJ15" i="1"/>
  <c r="BI15" i="1"/>
  <c r="BE15" i="1"/>
  <c r="AN15" i="1"/>
  <c r="AI15" i="1"/>
  <c r="AH15" i="1"/>
  <c r="AG15" i="1"/>
  <c r="AD15" i="1"/>
  <c r="AJ15" i="1" s="1"/>
  <c r="AA15" i="1"/>
  <c r="X15" i="1"/>
  <c r="U15" i="1"/>
  <c r="Q15" i="1"/>
  <c r="GG14" i="1"/>
  <c r="GF14" i="1"/>
  <c r="FX14" i="1"/>
  <c r="FZ14" i="1" s="1"/>
  <c r="CD14" i="1"/>
  <c r="BE14" i="1"/>
  <c r="BI14" i="1" s="1"/>
  <c r="AN14" i="1"/>
  <c r="AJ14" i="1"/>
  <c r="AI14" i="1"/>
  <c r="AH14" i="1"/>
  <c r="AG14" i="1"/>
  <c r="AD14" i="1"/>
  <c r="AA14" i="1"/>
  <c r="X14" i="1"/>
  <c r="U14" i="1"/>
  <c r="Q14" i="1"/>
  <c r="GG13" i="1"/>
  <c r="GF13" i="1"/>
  <c r="FX13" i="1"/>
  <c r="FZ13" i="1" s="1"/>
  <c r="CD13" i="1"/>
  <c r="BL13" i="1"/>
  <c r="BK13" i="1"/>
  <c r="BJ13" i="1"/>
  <c r="BE13" i="1"/>
  <c r="BI13" i="1" s="1"/>
  <c r="AN13" i="1"/>
  <c r="AI13" i="1"/>
  <c r="AH13" i="1"/>
  <c r="AG13" i="1"/>
  <c r="AD13" i="1"/>
  <c r="AJ13" i="1" s="1"/>
  <c r="AA13" i="1"/>
  <c r="X13" i="1"/>
  <c r="U13" i="1"/>
  <c r="Q13" i="1"/>
  <c r="GG12" i="1"/>
  <c r="GF12" i="1"/>
  <c r="FX12" i="1"/>
  <c r="FZ12" i="1" s="1"/>
  <c r="CD12" i="1"/>
  <c r="BE12" i="1"/>
  <c r="BJ12" i="1" s="1"/>
  <c r="AN12" i="1"/>
  <c r="AJ12" i="1"/>
  <c r="AI12" i="1"/>
  <c r="AH12" i="1"/>
  <c r="AG12" i="1"/>
  <c r="AD12" i="1"/>
  <c r="AA12" i="1"/>
  <c r="X12" i="1"/>
  <c r="U12" i="1"/>
  <c r="Q12" i="1"/>
  <c r="GG11" i="1"/>
  <c r="GF11" i="1"/>
  <c r="FX11" i="1"/>
  <c r="FZ11" i="1" s="1"/>
  <c r="CD11" i="1"/>
  <c r="BL11" i="1"/>
  <c r="BK11" i="1"/>
  <c r="BJ11" i="1"/>
  <c r="BI11" i="1"/>
  <c r="BE11" i="1"/>
  <c r="AN11" i="1"/>
  <c r="AI11" i="1"/>
  <c r="AH11" i="1"/>
  <c r="AG11" i="1"/>
  <c r="AD11" i="1"/>
  <c r="AJ11" i="1" s="1"/>
  <c r="AA11" i="1"/>
  <c r="X11" i="1"/>
  <c r="U11" i="1"/>
  <c r="Q11" i="1"/>
  <c r="GG10" i="1"/>
  <c r="GF10" i="1"/>
  <c r="FX10" i="1"/>
  <c r="FZ10" i="1" s="1"/>
  <c r="CD10" i="1"/>
  <c r="BE10" i="1"/>
  <c r="BL10" i="1" s="1"/>
  <c r="AN10" i="1"/>
  <c r="AJ10" i="1"/>
  <c r="AI10" i="1"/>
  <c r="AH10" i="1"/>
  <c r="AG10" i="1"/>
  <c r="AD10" i="1"/>
  <c r="AA10" i="1"/>
  <c r="X10" i="1"/>
  <c r="U10" i="1"/>
  <c r="Q10" i="1"/>
  <c r="GG9" i="1"/>
  <c r="GF9" i="1"/>
  <c r="FX9" i="1"/>
  <c r="FZ9" i="1" s="1"/>
  <c r="CD9" i="1"/>
  <c r="BL9" i="1"/>
  <c r="BK9" i="1"/>
  <c r="BJ9" i="1"/>
  <c r="BE9" i="1"/>
  <c r="BI9" i="1" s="1"/>
  <c r="AN9" i="1"/>
  <c r="AI9" i="1"/>
  <c r="AH9" i="1"/>
  <c r="AG9" i="1"/>
  <c r="AD9" i="1"/>
  <c r="AJ9" i="1" s="1"/>
  <c r="AA9" i="1"/>
  <c r="X9" i="1"/>
  <c r="U9" i="1"/>
  <c r="Q9" i="1"/>
  <c r="GG8" i="1"/>
  <c r="GF8" i="1"/>
  <c r="FX8" i="1"/>
  <c r="FZ8" i="1" s="1"/>
  <c r="CD8" i="1"/>
  <c r="BE8" i="1"/>
  <c r="BI8" i="1" s="1"/>
  <c r="AN8" i="1"/>
  <c r="AJ8" i="1"/>
  <c r="AI8" i="1"/>
  <c r="AH8" i="1"/>
  <c r="AG8" i="1"/>
  <c r="AD8" i="1"/>
  <c r="AA8" i="1"/>
  <c r="X8" i="1"/>
  <c r="U8" i="1"/>
  <c r="Q8" i="1"/>
  <c r="GG7" i="1"/>
  <c r="GF7" i="1"/>
  <c r="FX7" i="1"/>
  <c r="FZ7" i="1" s="1"/>
  <c r="CD7" i="1"/>
  <c r="BL7" i="1"/>
  <c r="BK7" i="1"/>
  <c r="BJ7" i="1"/>
  <c r="BE7" i="1"/>
  <c r="BI7" i="1" s="1"/>
  <c r="AN7" i="1"/>
  <c r="AI7" i="1"/>
  <c r="AH7" i="1"/>
  <c r="AG7" i="1"/>
  <c r="AD7" i="1"/>
  <c r="AJ7" i="1" s="1"/>
  <c r="AA7" i="1"/>
  <c r="X7" i="1"/>
  <c r="U7" i="1"/>
  <c r="Q7" i="1"/>
  <c r="BI10" i="1" l="1"/>
  <c r="BI24" i="1"/>
  <c r="BI30" i="1"/>
  <c r="BI32" i="1"/>
  <c r="BI34" i="1"/>
  <c r="BJ8" i="1"/>
  <c r="BJ14" i="1"/>
  <c r="BJ16" i="1"/>
  <c r="BJ22" i="1"/>
  <c r="BJ26" i="1"/>
  <c r="BJ28" i="1"/>
  <c r="BK8" i="1"/>
  <c r="BK10" i="1"/>
  <c r="BK12" i="1"/>
  <c r="BK14" i="1"/>
  <c r="BK16" i="1"/>
  <c r="BK18" i="1"/>
  <c r="BK20" i="1"/>
  <c r="BK22" i="1"/>
  <c r="BK24" i="1"/>
  <c r="BK26" i="1"/>
  <c r="BK28" i="1"/>
  <c r="BK30" i="1"/>
  <c r="BK32" i="1"/>
  <c r="BK34" i="1"/>
  <c r="BK36" i="1"/>
  <c r="BI18" i="1"/>
  <c r="BI22" i="1"/>
  <c r="BI36" i="1"/>
  <c r="BJ10" i="1"/>
  <c r="BJ18" i="1"/>
  <c r="BJ24" i="1"/>
  <c r="BJ32" i="1"/>
  <c r="BJ36" i="1"/>
  <c r="BL8" i="1"/>
  <c r="BL12" i="1"/>
  <c r="BL14" i="1"/>
  <c r="BL16" i="1"/>
  <c r="BL20" i="1"/>
  <c r="BL26" i="1"/>
  <c r="BL28" i="1"/>
  <c r="BL30" i="1"/>
  <c r="BL34" i="1"/>
  <c r="BI12" i="1"/>
  <c r="BI20" i="1"/>
</calcChain>
</file>

<file path=xl/sharedStrings.xml><?xml version="1.0" encoding="utf-8"?>
<sst xmlns="http://schemas.openxmlformats.org/spreadsheetml/2006/main" count="1318" uniqueCount="252">
  <si>
    <t>DATA SOURCE</t>
  </si>
  <si>
    <t xml:space="preserve">SOURCES: </t>
  </si>
  <si>
    <t>SOURCES: DAFP, ODISHA, BHUBANESWAR</t>
  </si>
  <si>
    <t>SOURCES: SRC, ODISHA, BHUBANESWAR</t>
  </si>
  <si>
    <t>SOURCES: DIRECTORATE OF INDUSTRIES, CUTTACK</t>
  </si>
  <si>
    <t>SOURCES: DIRECTORATE OF TEXTILES, ODISHA, BHUBANESWAR</t>
  </si>
  <si>
    <t>SOURCES: DIRECTORATE OF HANDICRAFTS, ODISHA, BHUBANESWAR</t>
  </si>
  <si>
    <t>SOURCES: REGISTARS GENERAL OF INDIA (RGI), GOVT. OF ODISHA &amp; DIRECTORATE OF ECONOMICS AND STATISTICS, ODISHA, BHUBANESWAR</t>
  </si>
  <si>
    <t>SOURCES: DIRECTORATE OF ECONOMICS &amp; STATISTICS, ODISHA, BHUBANESWAR &amp; DIRECTORATE OF AGRICULTURE AND FARMER'S EMPOWERMENT (DAFP), ODISHA, BHUBANESWAR</t>
  </si>
  <si>
    <t>SOURCES: DIRECTORATE OF AGRICULTURE AND FARMER'S EMPOWERMENT (DAFP), ODISHA, BHUBANESWAR</t>
  </si>
  <si>
    <t>SOURCES: CHIEF ENGINEER NATIONAL HIGHWAYS (NH)/DESIGN, PLANNING AND INVESTIGATION (DPI) &amp; ROADS, ODISHA/CHIEF ENGINEER RURAL WORK(RW)/PANCHAYATRAJ(PR). DEPARTMENT/PRINCIPAL CHIEF CONSERVATOR OF FOREST (PCCF), ORID LTD.</t>
  </si>
  <si>
    <t>SOURCES: ODISHA SCHOOL EDUCATION PROGRAMMEE AUTHORITY, BHUBANESWAR/DIRECTORATE OF HIGHER EDUCATION (DHE), ODISHA &amp; RGI, INDIA</t>
  </si>
  <si>
    <t>SOURCES: DIRECTORATE OF HEALTH SERVICES (DHS) AND AYUSH, ODISHA, BHUBANESWAR</t>
  </si>
  <si>
    <t>SOURCES: DEPARTMENT OF POST, GOVT. OF INDIA/ENGINEER IN CHIEF (EIC), ELECTRICITY, ODISHA, BHUBANESWAR/STATE LEVEL BANKER'S COMMITTEE (SLBC), ODISHA, BHUBANESWAR</t>
  </si>
  <si>
    <t>SOURCES: DIRECTORATE OF ANIMAL HUSBANDARY AND VETERINARY (DAH&amp;V), ODISHA, CUTTACK</t>
  </si>
  <si>
    <t>SOURCES: DIRECTORATE OF FISHERIES, ODISHA, CUTTACK</t>
  </si>
  <si>
    <t>SOURCES: MISSION SAKTI DEPARTMENT, ODISHA, BHUBANESWAR</t>
  </si>
  <si>
    <t>SL. NO. AND YEAR</t>
  </si>
  <si>
    <t>ADMINISTRATIVE SETUP</t>
  </si>
  <si>
    <t>IRRIGATION POTENTIAL CREATED (IPC) AREA IN "000" HECTARE</t>
  </si>
  <si>
    <t>RAINFALL (IN MM)</t>
  </si>
  <si>
    <t>Micro, Small and Medium Enterprises (MSME)</t>
  </si>
  <si>
    <t>HANDLOOMS</t>
  </si>
  <si>
    <t>HANDICRAFTS</t>
  </si>
  <si>
    <t xml:space="preserve">POPULATION </t>
  </si>
  <si>
    <t>PRODUCTIO OF SELECTED CROP (IN "000" MT)</t>
  </si>
  <si>
    <t>AREA OF LAND UTILIZATION PATTERN (IN "000" HECTARE)</t>
  </si>
  <si>
    <t>CONSUMPTION OF FERTILIZER</t>
  </si>
  <si>
    <t>COMMUNICATION</t>
  </si>
  <si>
    <t>EDUCATION</t>
  </si>
  <si>
    <t>HEALTH</t>
  </si>
  <si>
    <t>INFRASTCTURE</t>
  </si>
  <si>
    <t>ANIMAL HUSBANDRY</t>
  </si>
  <si>
    <t>FISHERY</t>
  </si>
  <si>
    <t>SHG BANK LINKAGES</t>
  </si>
  <si>
    <t>ADMINISTRATIVE SETUP OF DISTRICTS</t>
  </si>
  <si>
    <t>NOS. OF VILLAGES</t>
  </si>
  <si>
    <t>MAJOR AND MEDIUM</t>
  </si>
  <si>
    <t>MEGA LIFT</t>
  </si>
  <si>
    <t>MINOR FLOW</t>
  </si>
  <si>
    <t>MINOR LIFT</t>
  </si>
  <si>
    <t>OTHER SOURCES</t>
  </si>
  <si>
    <t>ALL SOURCES</t>
  </si>
  <si>
    <t>IN THOUSAND NUMBERS</t>
  </si>
  <si>
    <t>% TO TOTAL POPULATION</t>
  </si>
  <si>
    <t>SEX RATIO (NOS. OF FEMALE PER "000" MALES</t>
  </si>
  <si>
    <t>DECADAL GROWTH RATES TO PREVIOUS CENSUS</t>
  </si>
  <si>
    <t>POPULATION DENSITY (PER SQ KM.)</t>
  </si>
  <si>
    <t>CHILD POPULATION (0-6)YEARS IN "000" NOS.</t>
  </si>
  <si>
    <t xml:space="preserve">PROJECTED POPULATION (IN "000") </t>
  </si>
  <si>
    <t>ROAD LENGTH (IN KMS.)</t>
  </si>
  <si>
    <t>RAILWAYS</t>
  </si>
  <si>
    <t>PRIMARY SCHOOL</t>
  </si>
  <si>
    <t>UPPER PRIMARY SCHOOL</t>
  </si>
  <si>
    <t>SECONDARY SCHOOL</t>
  </si>
  <si>
    <t>HIGHER SECONDARY SCHOOL</t>
  </si>
  <si>
    <t>NOS. OF GENERAL COLLEGES</t>
  </si>
  <si>
    <t>LITERACY RATE</t>
  </si>
  <si>
    <t>IN NUMBERS</t>
  </si>
  <si>
    <t>NOS. OF HOSPITAL AND DISPENSARIES</t>
  </si>
  <si>
    <t xml:space="preserve">ALL BANKS </t>
  </si>
  <si>
    <t>IN NUMBERS (LIVESTOCK CENSUS)</t>
  </si>
  <si>
    <t xml:space="preserve">AH PRODUCTION </t>
  </si>
  <si>
    <t>PRODUCTION OF FISH (IN MT)</t>
  </si>
  <si>
    <t>SHG TARGET</t>
  </si>
  <si>
    <t>SHG ACHIEVEMENT</t>
  </si>
  <si>
    <t>% OF SHG ACHIEVEMENT</t>
  </si>
  <si>
    <t>SL. NO.</t>
  </si>
  <si>
    <t>YEAR</t>
  </si>
  <si>
    <t>NAME OF THE DISTRICT</t>
  </si>
  <si>
    <t>GEOGRAPHICAL AREA ( SQ KM.)</t>
  </si>
  <si>
    <t>NOS. OF SUBDIVISION</t>
  </si>
  <si>
    <t>NOS. OF TAHESIL</t>
  </si>
  <si>
    <t>NOS. OF CD BLOCK</t>
  </si>
  <si>
    <t>NOS. OF TRIBAL SUB-PLAN BLOCK</t>
  </si>
  <si>
    <t>NOS. OF MUNICIPALITIES &amp; CORPORATION</t>
  </si>
  <si>
    <t>NOS. OF NAC</t>
  </si>
  <si>
    <t>NOS. OF POLICE STATION (INCLUDING MAHILA PS)</t>
  </si>
  <si>
    <t>NOS. OF GP</t>
  </si>
  <si>
    <t>NOS. OF FIRE STATION</t>
  </si>
  <si>
    <t>NOS. OF ASSEMBLY CONSTITUENCY</t>
  </si>
  <si>
    <t>INHABITED</t>
  </si>
  <si>
    <t>UN-INHABITTED</t>
  </si>
  <si>
    <t>TOTAL VILLAGES</t>
  </si>
  <si>
    <t>REMARKS VILLAGE</t>
  </si>
  <si>
    <t>KHARIF</t>
  </si>
  <si>
    <t>RABI</t>
  </si>
  <si>
    <t>ALL SEASON</t>
  </si>
  <si>
    <t>REMARKS IPC</t>
  </si>
  <si>
    <t>NORMAL RAINFALL</t>
  </si>
  <si>
    <t>ACTUAL RAINFALL</t>
  </si>
  <si>
    <t>DEVIATION FROM NORMAL</t>
  </si>
  <si>
    <t>REMARKS RAINFALL</t>
  </si>
  <si>
    <t>NOS. OF MSME SETUP</t>
  </si>
  <si>
    <t>TOTAL CAPITAL INVESTMENT (IN LAKH.)</t>
  </si>
  <si>
    <t>TOTAL EMPLOYMENT GENERATED (IN NOS.)</t>
  </si>
  <si>
    <t>REMARKS MSME</t>
  </si>
  <si>
    <t>NOS. OF HANDLOOMS</t>
  </si>
  <si>
    <t>PRODUCTION  (IN LAKH. SQ. METER)</t>
  </si>
  <si>
    <t>REMARKS LOOMS</t>
  </si>
  <si>
    <t>NOS. OF HANDICRAFT UNITS ESTABLISHED</t>
  </si>
  <si>
    <t>REMARKS HANDICRAFT</t>
  </si>
  <si>
    <t>MALE</t>
  </si>
  <si>
    <t>FEMALE</t>
  </si>
  <si>
    <t>TOTAL</t>
  </si>
  <si>
    <t xml:space="preserve">RURAL </t>
  </si>
  <si>
    <t>URBAN</t>
  </si>
  <si>
    <t>REMARKS POP</t>
  </si>
  <si>
    <t>RURAL</t>
  </si>
  <si>
    <t>REMARKS SEX RATIO</t>
  </si>
  <si>
    <t>REMARKS POP GROWTH</t>
  </si>
  <si>
    <t>% OF DISTRICT POP TO TOTAL POP</t>
  </si>
  <si>
    <t>REMARKS CHILD POP</t>
  </si>
  <si>
    <t>REMARKS PROJECTED POP</t>
  </si>
  <si>
    <t>PADDY</t>
  </si>
  <si>
    <t>WHEAT</t>
  </si>
  <si>
    <t>MAIZE</t>
  </si>
  <si>
    <t>RAGI</t>
  </si>
  <si>
    <t>MUNG</t>
  </si>
  <si>
    <t>BIRI</t>
  </si>
  <si>
    <t>KULTHI</t>
  </si>
  <si>
    <t>TIL</t>
  </si>
  <si>
    <t>GROUNDNUT</t>
  </si>
  <si>
    <t>MUSTARD</t>
  </si>
  <si>
    <t>JUTE</t>
  </si>
  <si>
    <t>POTATO</t>
  </si>
  <si>
    <t>SUGARCANE</t>
  </si>
  <si>
    <t>REMARKS CROP</t>
  </si>
  <si>
    <t>FOREST AREA</t>
  </si>
  <si>
    <t>MISC. TREES &amp; GROOVES</t>
  </si>
  <si>
    <t>PERMANENT PASTURE</t>
  </si>
  <si>
    <t>CULTURABLE WASTE</t>
  </si>
  <si>
    <t>LAND PUT TO NON-AGRICULTURAL USES</t>
  </si>
  <si>
    <t>BARREN &amp; UNCULTURABLE LAND</t>
  </si>
  <si>
    <t>CURRENT FALLOW</t>
  </si>
  <si>
    <t>OTHER FALLOW</t>
  </si>
  <si>
    <t>NET AREA SOWN</t>
  </si>
  <si>
    <t>REMARKS LUS</t>
  </si>
  <si>
    <t>NITROGENOUS (MT)</t>
  </si>
  <si>
    <t>PHOSPHATIC (MT)</t>
  </si>
  <si>
    <t>POTASIC (MT)</t>
  </si>
  <si>
    <t>TOTAL FERTILIZER (MT)</t>
  </si>
  <si>
    <t>FERTILIZER CONSUMPTION (KG/HA.)</t>
  </si>
  <si>
    <t>REMARKS FERTILIZER</t>
  </si>
  <si>
    <t>NATIONAL HIGHWAY</t>
  </si>
  <si>
    <t>STATE HIGHWAY</t>
  </si>
  <si>
    <t>MAJOR DISTRICT ROAD</t>
  </si>
  <si>
    <t>OTHER DISTRICT ROAD</t>
  </si>
  <si>
    <t>RURAL ROAD</t>
  </si>
  <si>
    <t>RURAL SURFACE ROAD</t>
  </si>
  <si>
    <t>RURAL UN-SURFACE ROAD</t>
  </si>
  <si>
    <t>INTER VILLAGE ROAD</t>
  </si>
  <si>
    <t>INTRA VILLAGE ROAD</t>
  </si>
  <si>
    <t>FOREST ROAD</t>
  </si>
  <si>
    <t>REMARKS ROAD</t>
  </si>
  <si>
    <t>RAILWAYS ROUTE LENGTH (IN KM)</t>
  </si>
  <si>
    <t>NOS. OF RAILWAYS STATION &amp; PH</t>
  </si>
  <si>
    <t>REMARKS RAILWAYS</t>
  </si>
  <si>
    <t>NOS. OF SCHOOL</t>
  </si>
  <si>
    <t>NOS. OF ENROLLMENT</t>
  </si>
  <si>
    <t>PUPIL TEACHER RATIO</t>
  </si>
  <si>
    <t>JUNIOR COLLEGE</t>
  </si>
  <si>
    <t>DEGREE COLLEGE</t>
  </si>
  <si>
    <t>REMARKS SCHOOL</t>
  </si>
  <si>
    <t>REMARKS LITERACY</t>
  </si>
  <si>
    <t>DISTRICT HEAD QUARTER HOSPITAL</t>
  </si>
  <si>
    <t>MEDICAL COLLEGE</t>
  </si>
  <si>
    <t>SUB-DIVISIONAL AND OTHER HOSPITALS</t>
  </si>
  <si>
    <t>COMMUNITY HEALTH CENTRE</t>
  </si>
  <si>
    <t>PRIMARY HEALTH CENTRE (NEW)</t>
  </si>
  <si>
    <t>HEALTH SUB-CENTER</t>
  </si>
  <si>
    <t>MOBILE HEALTH UNIT</t>
  </si>
  <si>
    <t>BEDS AVAILABLE</t>
  </si>
  <si>
    <t>AYURVEDIC</t>
  </si>
  <si>
    <t>HOMEOPATHIC</t>
  </si>
  <si>
    <t>REMARKS HEALTH</t>
  </si>
  <si>
    <t>POST OFFICE</t>
  </si>
  <si>
    <t>VILLAGE ELECTRIFIED</t>
  </si>
  <si>
    <t>BRANCH NOS.</t>
  </si>
  <si>
    <t>DEPOSIT (CRORE)</t>
  </si>
  <si>
    <t>CREDIT (CRORE)</t>
  </si>
  <si>
    <t>REMARKS INFRA</t>
  </si>
  <si>
    <t>HOSPITAL &amp; DISPENSARIES</t>
  </si>
  <si>
    <t>LIVESTOCK AID CENTRES</t>
  </si>
  <si>
    <t>REMARKS LS CENTER</t>
  </si>
  <si>
    <t>CATTLE</t>
  </si>
  <si>
    <t>BUFFALO</t>
  </si>
  <si>
    <t>SHEEP</t>
  </si>
  <si>
    <t>GOAT</t>
  </si>
  <si>
    <t>PIG</t>
  </si>
  <si>
    <t>POULTRY</t>
  </si>
  <si>
    <t>REMARKS LIVE STOCK</t>
  </si>
  <si>
    <t>MILK ("000" MT)</t>
  </si>
  <si>
    <t>EGG (LAKH.)</t>
  </si>
  <si>
    <t>MEAT ("000" MT)</t>
  </si>
  <si>
    <t>REMARKS AH</t>
  </si>
  <si>
    <t>FRESH WATER</t>
  </si>
  <si>
    <t>BRAKISH WATER</t>
  </si>
  <si>
    <t>TOTAL INLAND</t>
  </si>
  <si>
    <t>MARINE WATER</t>
  </si>
  <si>
    <t>TOTAL PRODUCTION</t>
  </si>
  <si>
    <t>REMARKS FISHERY</t>
  </si>
  <si>
    <t>PHYSICAL (IN NOS.)</t>
  </si>
  <si>
    <t>FINANCIAL (IN LAKH.)</t>
  </si>
  <si>
    <t>PHYSICAL</t>
  </si>
  <si>
    <t>FINANCIAL</t>
  </si>
  <si>
    <t>REMARKS SHG</t>
  </si>
  <si>
    <t>OLD</t>
  </si>
  <si>
    <t>NEW</t>
  </si>
  <si>
    <t>Angul</t>
  </si>
  <si>
    <t>2011 Census</t>
  </si>
  <si>
    <t>2024-25 (P)</t>
  </si>
  <si>
    <t>Year-2024</t>
  </si>
  <si>
    <t>Year (2024-25)</t>
  </si>
  <si>
    <t>(2001-2011) Census</t>
  </si>
  <si>
    <t>Year-2025</t>
  </si>
  <si>
    <t>Agri Year (2024-25)</t>
  </si>
  <si>
    <t>NA</t>
  </si>
  <si>
    <t>20th LS Census</t>
  </si>
  <si>
    <t>Year (2023-24)</t>
  </si>
  <si>
    <t>Balasore</t>
  </si>
  <si>
    <t>Baragarh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</si>
  <si>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</si>
  <si>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</si>
  <si>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</si>
  <si>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</si>
  <si>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</si>
  <si>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</si>
  <si>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</si>
  <si>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</si>
  <si>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46 .76</t>
  </si>
  <si>
    <t>Jagatsinghpur</t>
  </si>
  <si>
    <t>Jajpur</t>
  </si>
  <si>
    <t>Jharsuguda</t>
  </si>
  <si>
    <t>Kalahandi</t>
  </si>
  <si>
    <t>Kandhamal</t>
  </si>
  <si>
    <t>Kendrapara</t>
  </si>
  <si>
    <t>-</t>
  </si>
  <si>
    <t>Keonjhar</t>
  </si>
  <si>
    <t>Khurda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</si>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</sst>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1D35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3333FF"/>
      <name val="Calibri"/>
      <family val="2"/>
      <scheme val="minor"/>
    </font>
    <font>
      <sz val="8"/>
      <color rgb="FF3333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6" fillId="0" borderId="1" xfId="0" applyNumberFormat="1" applyFont="1" applyBorder="1"/>
    <xf numFmtId="2" fontId="7" fillId="0" borderId="1" xfId="0" applyNumberFormat="1" applyFont="1" applyBorder="1"/>
    <xf numFmtId="2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wrapText="1"/>
    </xf>
    <xf numFmtId="2" fontId="7" fillId="0" borderId="1" xfId="0" applyNumberFormat="1" applyFont="1" applyBorder="1" applyAlignment="1">
      <alignment wrapText="1"/>
    </xf>
    <xf numFmtId="164" fontId="5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horizontal="right" wrapText="1"/>
    </xf>
    <xf numFmtId="2" fontId="5" fillId="0" borderId="1" xfId="0" applyNumberFormat="1" applyFont="1" applyBorder="1" applyAlignment="1">
      <alignment horizontal="right"/>
    </xf>
    <xf numFmtId="17" fontId="5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6E4E-C0D3-4E8C-90F6-9C122190BA82}">
  <dimension ref="A1:GH37"/>
  <sheetViews>
    <sheetView tabSelected="1" workbookViewId="0">
      <selection sqref="A1:GH37"/>
    </sheetView>
  </sheetViews>
  <sheetFormatPr defaultRowHeight="14.4" x14ac:dyDescent="0.3"/>
  <sheetData>
    <row r="1" spans="1:190" x14ac:dyDescent="0.3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 t="s">
        <v>3</v>
      </c>
      <c r="AM1" s="4"/>
      <c r="AN1" s="4"/>
      <c r="AO1" s="4"/>
      <c r="AP1" s="5" t="s">
        <v>4</v>
      </c>
      <c r="AQ1" s="5"/>
      <c r="AR1" s="5"/>
      <c r="AS1" s="5"/>
      <c r="AT1" s="6" t="s">
        <v>5</v>
      </c>
      <c r="AU1" s="6"/>
      <c r="AV1" s="6"/>
      <c r="AW1" s="6"/>
      <c r="AX1" s="6"/>
      <c r="AY1" s="5" t="s">
        <v>6</v>
      </c>
      <c r="AZ1" s="5"/>
      <c r="BA1" s="5"/>
      <c r="BB1" s="5"/>
      <c r="BC1" s="7" t="s">
        <v>7</v>
      </c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8" t="s">
        <v>8</v>
      </c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4" t="s">
        <v>9</v>
      </c>
      <c r="CU1" s="4"/>
      <c r="CV1" s="4"/>
      <c r="CW1" s="4"/>
      <c r="CX1" s="4"/>
      <c r="CY1" s="4"/>
      <c r="CZ1" s="4"/>
      <c r="DA1" s="4"/>
      <c r="DB1" s="4"/>
      <c r="DC1" s="4"/>
      <c r="DD1" s="9" t="s">
        <v>9</v>
      </c>
      <c r="DE1" s="9"/>
      <c r="DF1" s="9"/>
      <c r="DG1" s="9"/>
      <c r="DH1" s="9"/>
      <c r="DI1" s="9"/>
      <c r="DJ1" s="10" t="s">
        <v>10</v>
      </c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8" t="s">
        <v>11</v>
      </c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4" t="s">
        <v>12</v>
      </c>
      <c r="ER1" s="4"/>
      <c r="ES1" s="4"/>
      <c r="ET1" s="4"/>
      <c r="EU1" s="4"/>
      <c r="EV1" s="4"/>
      <c r="EW1" s="4"/>
      <c r="EX1" s="4"/>
      <c r="EY1" s="4"/>
      <c r="EZ1" s="4"/>
      <c r="FA1" s="4"/>
      <c r="FB1" s="9" t="s">
        <v>13</v>
      </c>
      <c r="FC1" s="9"/>
      <c r="FD1" s="9"/>
      <c r="FE1" s="9"/>
      <c r="FF1" s="9"/>
      <c r="FG1" s="9"/>
      <c r="FH1" s="4" t="s">
        <v>14</v>
      </c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10" t="s">
        <v>15</v>
      </c>
      <c r="FW1" s="10"/>
      <c r="FX1" s="10"/>
      <c r="FY1" s="10"/>
      <c r="FZ1" s="10"/>
      <c r="GA1" s="10"/>
      <c r="GB1" s="9" t="s">
        <v>16</v>
      </c>
      <c r="GC1" s="9"/>
      <c r="GD1" s="9"/>
      <c r="GE1" s="9"/>
      <c r="GF1" s="9"/>
      <c r="GG1" s="9"/>
      <c r="GH1" s="9"/>
    </row>
    <row r="2" spans="1:190" x14ac:dyDescent="0.3">
      <c r="A2" s="11" t="s">
        <v>17</v>
      </c>
      <c r="B2" s="11"/>
      <c r="C2" s="11"/>
      <c r="D2" s="2" t="s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 t="s">
        <v>20</v>
      </c>
      <c r="AM2" s="4"/>
      <c r="AN2" s="4"/>
      <c r="AO2" s="4"/>
      <c r="AP2" s="5" t="s">
        <v>21</v>
      </c>
      <c r="AQ2" s="5"/>
      <c r="AR2" s="5"/>
      <c r="AS2" s="5"/>
      <c r="AT2" s="6" t="s">
        <v>22</v>
      </c>
      <c r="AU2" s="6"/>
      <c r="AV2" s="6"/>
      <c r="AW2" s="6"/>
      <c r="AX2" s="6"/>
      <c r="AY2" s="5" t="s">
        <v>23</v>
      </c>
      <c r="AZ2" s="5"/>
      <c r="BA2" s="5"/>
      <c r="BB2" s="5"/>
      <c r="BC2" s="7" t="s">
        <v>24</v>
      </c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8" t="s">
        <v>25</v>
      </c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4" t="s">
        <v>26</v>
      </c>
      <c r="CU2" s="4"/>
      <c r="CV2" s="4"/>
      <c r="CW2" s="4"/>
      <c r="CX2" s="4"/>
      <c r="CY2" s="4"/>
      <c r="CZ2" s="4"/>
      <c r="DA2" s="4"/>
      <c r="DB2" s="4"/>
      <c r="DC2" s="4"/>
      <c r="DD2" s="9" t="s">
        <v>27</v>
      </c>
      <c r="DE2" s="9"/>
      <c r="DF2" s="9"/>
      <c r="DG2" s="9"/>
      <c r="DH2" s="9"/>
      <c r="DI2" s="9"/>
      <c r="DJ2" s="10" t="s">
        <v>28</v>
      </c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8" t="s">
        <v>29</v>
      </c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4" t="s">
        <v>30</v>
      </c>
      <c r="ER2" s="4"/>
      <c r="ES2" s="4"/>
      <c r="ET2" s="4"/>
      <c r="EU2" s="4"/>
      <c r="EV2" s="4"/>
      <c r="EW2" s="4"/>
      <c r="EX2" s="4"/>
      <c r="EY2" s="4"/>
      <c r="EZ2" s="4"/>
      <c r="FA2" s="4"/>
      <c r="FB2" s="9" t="s">
        <v>31</v>
      </c>
      <c r="FC2" s="9"/>
      <c r="FD2" s="9"/>
      <c r="FE2" s="9"/>
      <c r="FF2" s="9"/>
      <c r="FG2" s="9"/>
      <c r="FH2" s="4" t="s">
        <v>32</v>
      </c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10" t="s">
        <v>33</v>
      </c>
      <c r="FW2" s="10"/>
      <c r="FX2" s="10"/>
      <c r="FY2" s="10"/>
      <c r="FZ2" s="10"/>
      <c r="GA2" s="10"/>
      <c r="GB2" s="9" t="s">
        <v>34</v>
      </c>
      <c r="GC2" s="9"/>
      <c r="GD2" s="9"/>
      <c r="GE2" s="9"/>
      <c r="GF2" s="9"/>
      <c r="GG2" s="9"/>
      <c r="GH2" s="9"/>
    </row>
    <row r="3" spans="1:190" x14ac:dyDescent="0.3">
      <c r="A3" s="11"/>
      <c r="B3" s="11"/>
      <c r="C3" s="11"/>
      <c r="D3" s="12" t="s">
        <v>35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3" t="s">
        <v>36</v>
      </c>
      <c r="P3" s="14"/>
      <c r="Q3" s="14"/>
      <c r="R3" s="15"/>
      <c r="S3" s="3" t="s">
        <v>37</v>
      </c>
      <c r="T3" s="3"/>
      <c r="U3" s="3"/>
      <c r="V3" s="8" t="s">
        <v>38</v>
      </c>
      <c r="W3" s="8"/>
      <c r="X3" s="8"/>
      <c r="Y3" s="3" t="s">
        <v>39</v>
      </c>
      <c r="Z3" s="3"/>
      <c r="AA3" s="3"/>
      <c r="AB3" s="3" t="s">
        <v>40</v>
      </c>
      <c r="AC3" s="3"/>
      <c r="AD3" s="3"/>
      <c r="AE3" s="3" t="s">
        <v>41</v>
      </c>
      <c r="AF3" s="3"/>
      <c r="AG3" s="3"/>
      <c r="AH3" s="16" t="s">
        <v>42</v>
      </c>
      <c r="AI3" s="16"/>
      <c r="AJ3" s="16"/>
      <c r="AK3" s="17"/>
      <c r="AL3" s="4"/>
      <c r="AM3" s="4"/>
      <c r="AN3" s="4"/>
      <c r="AO3" s="4"/>
      <c r="AP3" s="5"/>
      <c r="AQ3" s="5"/>
      <c r="AR3" s="5"/>
      <c r="AS3" s="5"/>
      <c r="AT3" s="6"/>
      <c r="AU3" s="6"/>
      <c r="AV3" s="6"/>
      <c r="AW3" s="6"/>
      <c r="AX3" s="6"/>
      <c r="AY3" s="5"/>
      <c r="AZ3" s="5"/>
      <c r="BA3" s="5"/>
      <c r="BB3" s="5"/>
      <c r="BC3" s="7" t="s">
        <v>43</v>
      </c>
      <c r="BD3" s="7"/>
      <c r="BE3" s="7"/>
      <c r="BF3" s="7"/>
      <c r="BG3" s="7"/>
      <c r="BH3" s="7"/>
      <c r="BI3" s="18" t="s">
        <v>44</v>
      </c>
      <c r="BJ3" s="18"/>
      <c r="BK3" s="18"/>
      <c r="BL3" s="18"/>
      <c r="BM3" s="7" t="s">
        <v>45</v>
      </c>
      <c r="BN3" s="7"/>
      <c r="BO3" s="7"/>
      <c r="BP3" s="7"/>
      <c r="BQ3" s="7" t="s">
        <v>46</v>
      </c>
      <c r="BR3" s="7"/>
      <c r="BS3" s="7"/>
      <c r="BT3" s="7"/>
      <c r="BU3" s="7" t="s">
        <v>47</v>
      </c>
      <c r="BV3" s="7"/>
      <c r="BW3" s="7"/>
      <c r="BX3" s="7" t="s">
        <v>48</v>
      </c>
      <c r="BY3" s="7"/>
      <c r="BZ3" s="7"/>
      <c r="CA3" s="7"/>
      <c r="CB3" s="7" t="s">
        <v>49</v>
      </c>
      <c r="CC3" s="7"/>
      <c r="CD3" s="7"/>
      <c r="CE3" s="7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4"/>
      <c r="CU3" s="4"/>
      <c r="CV3" s="4"/>
      <c r="CW3" s="4"/>
      <c r="CX3" s="4"/>
      <c r="CY3" s="4"/>
      <c r="CZ3" s="4"/>
      <c r="DA3" s="4"/>
      <c r="DB3" s="4"/>
      <c r="DC3" s="4"/>
      <c r="DD3" s="9"/>
      <c r="DE3" s="9"/>
      <c r="DF3" s="9"/>
      <c r="DG3" s="9"/>
      <c r="DH3" s="9"/>
      <c r="DI3" s="9"/>
      <c r="DJ3" s="10" t="s">
        <v>50</v>
      </c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 t="s">
        <v>51</v>
      </c>
      <c r="DV3" s="10"/>
      <c r="DW3" s="10"/>
      <c r="DX3" s="8" t="s">
        <v>52</v>
      </c>
      <c r="DY3" s="8"/>
      <c r="DZ3" s="8"/>
      <c r="EA3" s="8" t="s">
        <v>53</v>
      </c>
      <c r="EB3" s="8"/>
      <c r="EC3" s="8"/>
      <c r="ED3" s="8" t="s">
        <v>54</v>
      </c>
      <c r="EE3" s="8"/>
      <c r="EF3" s="8"/>
      <c r="EG3" s="8" t="s">
        <v>55</v>
      </c>
      <c r="EH3" s="8"/>
      <c r="EI3" s="8"/>
      <c r="EJ3" s="8" t="s">
        <v>56</v>
      </c>
      <c r="EK3" s="8"/>
      <c r="EL3" s="8" t="s">
        <v>57</v>
      </c>
      <c r="EM3" s="8"/>
      <c r="EN3" s="8"/>
      <c r="EO3" s="19"/>
      <c r="EP3" s="19"/>
      <c r="EQ3" s="4" t="s">
        <v>58</v>
      </c>
      <c r="ER3" s="4"/>
      <c r="ES3" s="4"/>
      <c r="ET3" s="4"/>
      <c r="EU3" s="4"/>
      <c r="EV3" s="4"/>
      <c r="EW3" s="4"/>
      <c r="EX3" s="4"/>
      <c r="EY3" s="4" t="s">
        <v>59</v>
      </c>
      <c r="EZ3" s="4"/>
      <c r="FA3" s="20"/>
      <c r="FB3" s="9" t="s">
        <v>58</v>
      </c>
      <c r="FC3" s="9"/>
      <c r="FD3" s="9" t="s">
        <v>60</v>
      </c>
      <c r="FE3" s="9"/>
      <c r="FF3" s="9"/>
      <c r="FG3" s="21"/>
      <c r="FH3" s="4" t="s">
        <v>58</v>
      </c>
      <c r="FI3" s="4"/>
      <c r="FJ3" s="4"/>
      <c r="FK3" s="4" t="s">
        <v>61</v>
      </c>
      <c r="FL3" s="4"/>
      <c r="FM3" s="4"/>
      <c r="FN3" s="4"/>
      <c r="FO3" s="4"/>
      <c r="FP3" s="4"/>
      <c r="FQ3" s="4"/>
      <c r="FR3" s="4" t="s">
        <v>62</v>
      </c>
      <c r="FS3" s="4"/>
      <c r="FT3" s="4"/>
      <c r="FU3" s="4"/>
      <c r="FV3" s="10" t="s">
        <v>63</v>
      </c>
      <c r="FW3" s="10"/>
      <c r="FX3" s="10"/>
      <c r="FY3" s="10"/>
      <c r="FZ3" s="10"/>
      <c r="GA3" s="10"/>
      <c r="GB3" s="9" t="s">
        <v>64</v>
      </c>
      <c r="GC3" s="9"/>
      <c r="GD3" s="9" t="s">
        <v>65</v>
      </c>
      <c r="GE3" s="9"/>
      <c r="GF3" s="22" t="s">
        <v>66</v>
      </c>
      <c r="GG3" s="22"/>
      <c r="GH3" s="21"/>
    </row>
    <row r="4" spans="1:190" ht="51" x14ac:dyDescent="0.3">
      <c r="A4" s="23" t="s">
        <v>67</v>
      </c>
      <c r="B4" s="24" t="s">
        <v>68</v>
      </c>
      <c r="C4" s="25" t="s">
        <v>69</v>
      </c>
      <c r="D4" s="26" t="s">
        <v>70</v>
      </c>
      <c r="E4" s="26" t="s">
        <v>71</v>
      </c>
      <c r="F4" s="26" t="s">
        <v>72</v>
      </c>
      <c r="G4" s="26" t="s">
        <v>73</v>
      </c>
      <c r="H4" s="26" t="s">
        <v>74</v>
      </c>
      <c r="I4" s="26" t="s">
        <v>75</v>
      </c>
      <c r="J4" s="26" t="s">
        <v>76</v>
      </c>
      <c r="K4" s="26" t="s">
        <v>77</v>
      </c>
      <c r="L4" s="26" t="s">
        <v>78</v>
      </c>
      <c r="M4" s="26" t="s">
        <v>79</v>
      </c>
      <c r="N4" s="26" t="s">
        <v>80</v>
      </c>
      <c r="O4" s="26" t="s">
        <v>81</v>
      </c>
      <c r="P4" s="26" t="s">
        <v>82</v>
      </c>
      <c r="Q4" s="27" t="s">
        <v>83</v>
      </c>
      <c r="R4" s="28" t="s">
        <v>84</v>
      </c>
      <c r="S4" s="29" t="s">
        <v>85</v>
      </c>
      <c r="T4" s="29" t="s">
        <v>86</v>
      </c>
      <c r="U4" s="30" t="s">
        <v>87</v>
      </c>
      <c r="V4" s="29" t="s">
        <v>85</v>
      </c>
      <c r="W4" s="29" t="s">
        <v>86</v>
      </c>
      <c r="X4" s="30" t="s">
        <v>87</v>
      </c>
      <c r="Y4" s="29" t="s">
        <v>85</v>
      </c>
      <c r="Z4" s="29" t="s">
        <v>86</v>
      </c>
      <c r="AA4" s="30" t="s">
        <v>87</v>
      </c>
      <c r="AB4" s="29" t="s">
        <v>85</v>
      </c>
      <c r="AC4" s="29" t="s">
        <v>86</v>
      </c>
      <c r="AD4" s="30" t="s">
        <v>87</v>
      </c>
      <c r="AE4" s="29" t="s">
        <v>85</v>
      </c>
      <c r="AF4" s="29" t="s">
        <v>86</v>
      </c>
      <c r="AG4" s="30" t="s">
        <v>87</v>
      </c>
      <c r="AH4" s="31" t="s">
        <v>85</v>
      </c>
      <c r="AI4" s="31" t="s">
        <v>86</v>
      </c>
      <c r="AJ4" s="30" t="s">
        <v>87</v>
      </c>
      <c r="AK4" s="17" t="s">
        <v>88</v>
      </c>
      <c r="AL4" s="32" t="s">
        <v>89</v>
      </c>
      <c r="AM4" s="32" t="s">
        <v>90</v>
      </c>
      <c r="AN4" s="33" t="s">
        <v>91</v>
      </c>
      <c r="AO4" s="34" t="s">
        <v>92</v>
      </c>
      <c r="AP4" s="35" t="s">
        <v>93</v>
      </c>
      <c r="AQ4" s="35" t="s">
        <v>94</v>
      </c>
      <c r="AR4" s="35" t="s">
        <v>95</v>
      </c>
      <c r="AS4" s="36" t="s">
        <v>96</v>
      </c>
      <c r="AT4" s="32" t="s">
        <v>97</v>
      </c>
      <c r="AU4" s="32" t="s">
        <v>94</v>
      </c>
      <c r="AV4" s="32" t="s">
        <v>98</v>
      </c>
      <c r="AW4" s="32" t="s">
        <v>95</v>
      </c>
      <c r="AX4" s="34" t="s">
        <v>99</v>
      </c>
      <c r="AY4" s="35" t="s">
        <v>100</v>
      </c>
      <c r="AZ4" s="35" t="s">
        <v>94</v>
      </c>
      <c r="BA4" s="35" t="s">
        <v>95</v>
      </c>
      <c r="BB4" s="36" t="s">
        <v>101</v>
      </c>
      <c r="BC4" s="37" t="s">
        <v>102</v>
      </c>
      <c r="BD4" s="37" t="s">
        <v>103</v>
      </c>
      <c r="BE4" s="38" t="s">
        <v>104</v>
      </c>
      <c r="BF4" s="37" t="s">
        <v>105</v>
      </c>
      <c r="BG4" s="37" t="s">
        <v>106</v>
      </c>
      <c r="BH4" s="39" t="s">
        <v>107</v>
      </c>
      <c r="BI4" s="38" t="s">
        <v>105</v>
      </c>
      <c r="BJ4" s="38" t="s">
        <v>106</v>
      </c>
      <c r="BK4" s="38" t="s">
        <v>102</v>
      </c>
      <c r="BL4" s="38" t="s">
        <v>103</v>
      </c>
      <c r="BM4" s="37" t="s">
        <v>108</v>
      </c>
      <c r="BN4" s="37" t="s">
        <v>106</v>
      </c>
      <c r="BO4" s="37" t="s">
        <v>104</v>
      </c>
      <c r="BP4" s="39" t="s">
        <v>109</v>
      </c>
      <c r="BQ4" s="37" t="s">
        <v>108</v>
      </c>
      <c r="BR4" s="37" t="s">
        <v>106</v>
      </c>
      <c r="BS4" s="37" t="s">
        <v>104</v>
      </c>
      <c r="BT4" s="39" t="s">
        <v>110</v>
      </c>
      <c r="BU4" s="37">
        <v>2001</v>
      </c>
      <c r="BV4" s="37">
        <v>2011</v>
      </c>
      <c r="BW4" s="37" t="s">
        <v>111</v>
      </c>
      <c r="BX4" s="37" t="s">
        <v>102</v>
      </c>
      <c r="BY4" s="37" t="s">
        <v>103</v>
      </c>
      <c r="BZ4" s="37" t="s">
        <v>104</v>
      </c>
      <c r="CA4" s="39" t="s">
        <v>112</v>
      </c>
      <c r="CB4" s="37" t="s">
        <v>102</v>
      </c>
      <c r="CC4" s="37" t="s">
        <v>103</v>
      </c>
      <c r="CD4" s="38" t="s">
        <v>104</v>
      </c>
      <c r="CE4" s="39" t="s">
        <v>113</v>
      </c>
      <c r="CF4" s="40" t="s">
        <v>114</v>
      </c>
      <c r="CG4" s="40" t="s">
        <v>115</v>
      </c>
      <c r="CH4" s="40" t="s">
        <v>116</v>
      </c>
      <c r="CI4" s="40" t="s">
        <v>117</v>
      </c>
      <c r="CJ4" s="40" t="s">
        <v>118</v>
      </c>
      <c r="CK4" s="40" t="s">
        <v>119</v>
      </c>
      <c r="CL4" s="40" t="s">
        <v>120</v>
      </c>
      <c r="CM4" s="40" t="s">
        <v>121</v>
      </c>
      <c r="CN4" s="40" t="s">
        <v>122</v>
      </c>
      <c r="CO4" s="40" t="s">
        <v>123</v>
      </c>
      <c r="CP4" s="40" t="s">
        <v>124</v>
      </c>
      <c r="CQ4" s="29" t="s">
        <v>125</v>
      </c>
      <c r="CR4" s="29" t="s">
        <v>126</v>
      </c>
      <c r="CS4" s="17" t="s">
        <v>127</v>
      </c>
      <c r="CT4" s="32" t="s">
        <v>128</v>
      </c>
      <c r="CU4" s="32" t="s">
        <v>129</v>
      </c>
      <c r="CV4" s="32" t="s">
        <v>130</v>
      </c>
      <c r="CW4" s="32" t="s">
        <v>131</v>
      </c>
      <c r="CX4" s="32" t="s">
        <v>132</v>
      </c>
      <c r="CY4" s="32" t="s">
        <v>133</v>
      </c>
      <c r="CZ4" s="32" t="s">
        <v>134</v>
      </c>
      <c r="DA4" s="32" t="s">
        <v>135</v>
      </c>
      <c r="DB4" s="32" t="s">
        <v>136</v>
      </c>
      <c r="DC4" s="34" t="s">
        <v>137</v>
      </c>
      <c r="DD4" s="35" t="s">
        <v>138</v>
      </c>
      <c r="DE4" s="35" t="s">
        <v>139</v>
      </c>
      <c r="DF4" s="35" t="s">
        <v>140</v>
      </c>
      <c r="DG4" s="35" t="s">
        <v>141</v>
      </c>
      <c r="DH4" s="35" t="s">
        <v>142</v>
      </c>
      <c r="DI4" s="36" t="s">
        <v>143</v>
      </c>
      <c r="DJ4" s="41" t="s">
        <v>144</v>
      </c>
      <c r="DK4" s="41" t="s">
        <v>145</v>
      </c>
      <c r="DL4" s="41" t="s">
        <v>146</v>
      </c>
      <c r="DM4" s="41" t="s">
        <v>147</v>
      </c>
      <c r="DN4" s="41" t="s">
        <v>148</v>
      </c>
      <c r="DO4" s="41" t="s">
        <v>149</v>
      </c>
      <c r="DP4" s="41" t="s">
        <v>150</v>
      </c>
      <c r="DQ4" s="41" t="s">
        <v>151</v>
      </c>
      <c r="DR4" s="41" t="s">
        <v>152</v>
      </c>
      <c r="DS4" s="41" t="s">
        <v>153</v>
      </c>
      <c r="DT4" s="42" t="s">
        <v>154</v>
      </c>
      <c r="DU4" s="41" t="s">
        <v>155</v>
      </c>
      <c r="DV4" s="41" t="s">
        <v>156</v>
      </c>
      <c r="DW4" s="42" t="s">
        <v>157</v>
      </c>
      <c r="DX4" s="40" t="s">
        <v>158</v>
      </c>
      <c r="DY4" s="40" t="s">
        <v>159</v>
      </c>
      <c r="DZ4" s="40" t="s">
        <v>160</v>
      </c>
      <c r="EA4" s="40" t="s">
        <v>158</v>
      </c>
      <c r="EB4" s="40" t="s">
        <v>159</v>
      </c>
      <c r="EC4" s="40" t="s">
        <v>160</v>
      </c>
      <c r="ED4" s="40" t="s">
        <v>158</v>
      </c>
      <c r="EE4" s="40" t="s">
        <v>159</v>
      </c>
      <c r="EF4" s="40" t="s">
        <v>160</v>
      </c>
      <c r="EG4" s="40" t="s">
        <v>158</v>
      </c>
      <c r="EH4" s="40" t="s">
        <v>159</v>
      </c>
      <c r="EI4" s="40" t="s">
        <v>160</v>
      </c>
      <c r="EJ4" s="40" t="s">
        <v>161</v>
      </c>
      <c r="EK4" s="40" t="s">
        <v>162</v>
      </c>
      <c r="EL4" s="40" t="s">
        <v>102</v>
      </c>
      <c r="EM4" s="40" t="s">
        <v>103</v>
      </c>
      <c r="EN4" s="40" t="s">
        <v>104</v>
      </c>
      <c r="EO4" s="17" t="s">
        <v>163</v>
      </c>
      <c r="EP4" s="17" t="s">
        <v>164</v>
      </c>
      <c r="EQ4" s="32" t="s">
        <v>165</v>
      </c>
      <c r="ER4" s="32" t="s">
        <v>166</v>
      </c>
      <c r="ES4" s="32" t="s">
        <v>167</v>
      </c>
      <c r="ET4" s="32" t="s">
        <v>168</v>
      </c>
      <c r="EU4" s="32" t="s">
        <v>169</v>
      </c>
      <c r="EV4" s="32" t="s">
        <v>170</v>
      </c>
      <c r="EW4" s="32" t="s">
        <v>171</v>
      </c>
      <c r="EX4" s="32" t="s">
        <v>172</v>
      </c>
      <c r="EY4" s="32" t="s">
        <v>173</v>
      </c>
      <c r="EZ4" s="32" t="s">
        <v>174</v>
      </c>
      <c r="FA4" s="20" t="s">
        <v>175</v>
      </c>
      <c r="FB4" s="35" t="s">
        <v>176</v>
      </c>
      <c r="FC4" s="35" t="s">
        <v>177</v>
      </c>
      <c r="FD4" s="35" t="s">
        <v>178</v>
      </c>
      <c r="FE4" s="35" t="s">
        <v>179</v>
      </c>
      <c r="FF4" s="35" t="s">
        <v>180</v>
      </c>
      <c r="FG4" s="21" t="s">
        <v>181</v>
      </c>
      <c r="FH4" s="32" t="s">
        <v>182</v>
      </c>
      <c r="FI4" s="32" t="s">
        <v>183</v>
      </c>
      <c r="FJ4" s="34" t="s">
        <v>184</v>
      </c>
      <c r="FK4" s="43" t="s">
        <v>185</v>
      </c>
      <c r="FL4" s="43" t="s">
        <v>186</v>
      </c>
      <c r="FM4" s="43" t="s">
        <v>187</v>
      </c>
      <c r="FN4" s="43" t="s">
        <v>188</v>
      </c>
      <c r="FO4" s="43" t="s">
        <v>189</v>
      </c>
      <c r="FP4" s="43" t="s">
        <v>190</v>
      </c>
      <c r="FQ4" s="34" t="s">
        <v>191</v>
      </c>
      <c r="FR4" s="32" t="s">
        <v>192</v>
      </c>
      <c r="FS4" s="32" t="s">
        <v>193</v>
      </c>
      <c r="FT4" s="32" t="s">
        <v>194</v>
      </c>
      <c r="FU4" s="34" t="s">
        <v>195</v>
      </c>
      <c r="FV4" s="41" t="s">
        <v>196</v>
      </c>
      <c r="FW4" s="41" t="s">
        <v>197</v>
      </c>
      <c r="FX4" s="44" t="s">
        <v>198</v>
      </c>
      <c r="FY4" s="41" t="s">
        <v>199</v>
      </c>
      <c r="FZ4" s="44" t="s">
        <v>200</v>
      </c>
      <c r="GA4" s="42" t="s">
        <v>201</v>
      </c>
      <c r="GB4" s="35" t="s">
        <v>202</v>
      </c>
      <c r="GC4" s="35" t="s">
        <v>203</v>
      </c>
      <c r="GD4" s="35" t="s">
        <v>202</v>
      </c>
      <c r="GE4" s="35" t="s">
        <v>203</v>
      </c>
      <c r="GF4" s="45" t="s">
        <v>204</v>
      </c>
      <c r="GG4" s="45" t="s">
        <v>205</v>
      </c>
      <c r="GH4" s="21" t="s">
        <v>206</v>
      </c>
    </row>
    <row r="5" spans="1:190" x14ac:dyDescent="0.3">
      <c r="A5" s="23">
        <v>1</v>
      </c>
      <c r="B5" s="24">
        <v>2</v>
      </c>
      <c r="C5" s="23">
        <v>3</v>
      </c>
      <c r="D5" s="26">
        <v>4</v>
      </c>
      <c r="E5" s="26">
        <v>5</v>
      </c>
      <c r="F5" s="26">
        <v>6</v>
      </c>
      <c r="G5" s="26">
        <v>7</v>
      </c>
      <c r="H5" s="26">
        <v>8</v>
      </c>
      <c r="I5" s="26">
        <v>9</v>
      </c>
      <c r="J5" s="26">
        <v>10</v>
      </c>
      <c r="K5" s="26">
        <v>11</v>
      </c>
      <c r="L5" s="26">
        <v>12</v>
      </c>
      <c r="M5" s="26">
        <v>13</v>
      </c>
      <c r="N5" s="26">
        <v>14</v>
      </c>
      <c r="O5" s="26">
        <v>15</v>
      </c>
      <c r="P5" s="26">
        <v>16</v>
      </c>
      <c r="Q5" s="27">
        <v>17</v>
      </c>
      <c r="R5" s="46">
        <v>18</v>
      </c>
      <c r="S5" s="29">
        <v>19</v>
      </c>
      <c r="T5" s="29">
        <v>20</v>
      </c>
      <c r="U5" s="31">
        <v>21</v>
      </c>
      <c r="V5" s="29">
        <v>22</v>
      </c>
      <c r="W5" s="29">
        <v>23</v>
      </c>
      <c r="X5" s="31">
        <v>24</v>
      </c>
      <c r="Y5" s="29">
        <v>25</v>
      </c>
      <c r="Z5" s="29">
        <v>26</v>
      </c>
      <c r="AA5" s="31">
        <v>27</v>
      </c>
      <c r="AB5" s="29">
        <v>28</v>
      </c>
      <c r="AC5" s="29">
        <v>29</v>
      </c>
      <c r="AD5" s="31">
        <v>30</v>
      </c>
      <c r="AE5" s="29">
        <v>31</v>
      </c>
      <c r="AF5" s="29">
        <v>32</v>
      </c>
      <c r="AG5" s="31">
        <v>33</v>
      </c>
      <c r="AH5" s="31">
        <v>34</v>
      </c>
      <c r="AI5" s="31">
        <v>35</v>
      </c>
      <c r="AJ5" s="31">
        <v>36</v>
      </c>
      <c r="AK5" s="47">
        <v>37</v>
      </c>
      <c r="AL5" s="32">
        <v>38</v>
      </c>
      <c r="AM5" s="32">
        <v>39</v>
      </c>
      <c r="AN5" s="33">
        <v>40</v>
      </c>
      <c r="AO5" s="34">
        <v>41</v>
      </c>
      <c r="AP5" s="35">
        <v>42</v>
      </c>
      <c r="AQ5" s="35">
        <v>43</v>
      </c>
      <c r="AR5" s="35">
        <v>44</v>
      </c>
      <c r="AS5" s="36">
        <v>45</v>
      </c>
      <c r="AT5" s="32">
        <v>46</v>
      </c>
      <c r="AU5" s="32">
        <v>47</v>
      </c>
      <c r="AV5" s="32">
        <v>48</v>
      </c>
      <c r="AW5" s="32">
        <v>49</v>
      </c>
      <c r="AX5" s="34">
        <v>50</v>
      </c>
      <c r="AY5" s="35">
        <v>51</v>
      </c>
      <c r="AZ5" s="35">
        <v>52</v>
      </c>
      <c r="BA5" s="35">
        <v>53</v>
      </c>
      <c r="BB5" s="36">
        <v>54</v>
      </c>
      <c r="BC5" s="37">
        <v>55</v>
      </c>
      <c r="BD5" s="37">
        <v>56</v>
      </c>
      <c r="BE5" s="38">
        <v>57</v>
      </c>
      <c r="BF5" s="37">
        <v>58</v>
      </c>
      <c r="BG5" s="37">
        <v>59</v>
      </c>
      <c r="BH5" s="39">
        <v>60</v>
      </c>
      <c r="BI5" s="38">
        <v>61</v>
      </c>
      <c r="BJ5" s="38">
        <v>62</v>
      </c>
      <c r="BK5" s="38">
        <v>63</v>
      </c>
      <c r="BL5" s="38">
        <v>64</v>
      </c>
      <c r="BM5" s="37">
        <v>65</v>
      </c>
      <c r="BN5" s="37">
        <v>66</v>
      </c>
      <c r="BO5" s="37">
        <v>67</v>
      </c>
      <c r="BP5" s="39">
        <v>68</v>
      </c>
      <c r="BQ5" s="37">
        <v>69</v>
      </c>
      <c r="BR5" s="37">
        <v>70</v>
      </c>
      <c r="BS5" s="37">
        <v>71</v>
      </c>
      <c r="BT5" s="39">
        <v>72</v>
      </c>
      <c r="BU5" s="37">
        <v>73</v>
      </c>
      <c r="BV5" s="37">
        <v>74</v>
      </c>
      <c r="BW5" s="37">
        <v>75</v>
      </c>
      <c r="BX5" s="37">
        <v>76</v>
      </c>
      <c r="BY5" s="37">
        <v>77</v>
      </c>
      <c r="BZ5" s="37">
        <v>78</v>
      </c>
      <c r="CA5" s="39">
        <v>79</v>
      </c>
      <c r="CB5" s="37">
        <v>80</v>
      </c>
      <c r="CC5" s="37">
        <v>81</v>
      </c>
      <c r="CD5" s="38">
        <v>82</v>
      </c>
      <c r="CE5" s="39">
        <v>83</v>
      </c>
      <c r="CF5" s="40">
        <v>84</v>
      </c>
      <c r="CG5" s="40">
        <v>85</v>
      </c>
      <c r="CH5" s="40">
        <v>86</v>
      </c>
      <c r="CI5" s="40">
        <v>87</v>
      </c>
      <c r="CJ5" s="40">
        <v>88</v>
      </c>
      <c r="CK5" s="40">
        <v>89</v>
      </c>
      <c r="CL5" s="40">
        <v>90</v>
      </c>
      <c r="CM5" s="40">
        <v>91</v>
      </c>
      <c r="CN5" s="40">
        <v>92</v>
      </c>
      <c r="CO5" s="40">
        <v>93</v>
      </c>
      <c r="CP5" s="40">
        <v>94</v>
      </c>
      <c r="CQ5" s="40">
        <v>95</v>
      </c>
      <c r="CR5" s="40">
        <v>96</v>
      </c>
      <c r="CS5" s="17">
        <v>97</v>
      </c>
      <c r="CT5" s="32">
        <v>98</v>
      </c>
      <c r="CU5" s="32">
        <v>99</v>
      </c>
      <c r="CV5" s="32">
        <v>100</v>
      </c>
      <c r="CW5" s="32">
        <v>101</v>
      </c>
      <c r="CX5" s="32">
        <v>102</v>
      </c>
      <c r="CY5" s="32">
        <v>103</v>
      </c>
      <c r="CZ5" s="32">
        <v>104</v>
      </c>
      <c r="DA5" s="32">
        <v>105</v>
      </c>
      <c r="DB5" s="32">
        <v>106</v>
      </c>
      <c r="DC5" s="34">
        <v>107</v>
      </c>
      <c r="DD5" s="35">
        <v>108</v>
      </c>
      <c r="DE5" s="35">
        <v>109</v>
      </c>
      <c r="DF5" s="35">
        <v>110</v>
      </c>
      <c r="DG5" s="35">
        <v>111</v>
      </c>
      <c r="DH5" s="35">
        <v>112</v>
      </c>
      <c r="DI5" s="36">
        <v>113</v>
      </c>
      <c r="DJ5" s="41">
        <v>114</v>
      </c>
      <c r="DK5" s="41">
        <v>115</v>
      </c>
      <c r="DL5" s="41">
        <v>116</v>
      </c>
      <c r="DM5" s="41">
        <v>117</v>
      </c>
      <c r="DN5" s="41">
        <v>118</v>
      </c>
      <c r="DO5" s="41">
        <v>119</v>
      </c>
      <c r="DP5" s="41">
        <v>120</v>
      </c>
      <c r="DQ5" s="41">
        <v>121</v>
      </c>
      <c r="DR5" s="41">
        <v>122</v>
      </c>
      <c r="DS5" s="41">
        <v>123</v>
      </c>
      <c r="DT5" s="42">
        <v>124</v>
      </c>
      <c r="DU5" s="41">
        <v>125</v>
      </c>
      <c r="DV5" s="41">
        <v>126</v>
      </c>
      <c r="DW5" s="42">
        <v>127</v>
      </c>
      <c r="DX5" s="40">
        <v>128</v>
      </c>
      <c r="DY5" s="40">
        <v>129</v>
      </c>
      <c r="DZ5" s="40">
        <v>130</v>
      </c>
      <c r="EA5" s="40">
        <v>131</v>
      </c>
      <c r="EB5" s="40">
        <v>132</v>
      </c>
      <c r="EC5" s="40">
        <v>133</v>
      </c>
      <c r="ED5" s="40">
        <v>134</v>
      </c>
      <c r="EE5" s="40">
        <v>135</v>
      </c>
      <c r="EF5" s="40">
        <v>136</v>
      </c>
      <c r="EG5" s="40">
        <v>137</v>
      </c>
      <c r="EH5" s="40">
        <v>138</v>
      </c>
      <c r="EI5" s="40">
        <v>139</v>
      </c>
      <c r="EJ5" s="40">
        <v>140</v>
      </c>
      <c r="EK5" s="40">
        <v>141</v>
      </c>
      <c r="EL5" s="40">
        <v>142</v>
      </c>
      <c r="EM5" s="40">
        <v>143</v>
      </c>
      <c r="EN5" s="40">
        <v>144</v>
      </c>
      <c r="EO5" s="47">
        <v>145</v>
      </c>
      <c r="EP5" s="17">
        <v>146</v>
      </c>
      <c r="EQ5" s="32">
        <v>147</v>
      </c>
      <c r="ER5" s="32">
        <v>148</v>
      </c>
      <c r="ES5" s="32">
        <v>149</v>
      </c>
      <c r="ET5" s="32">
        <v>150</v>
      </c>
      <c r="EU5" s="32">
        <v>151</v>
      </c>
      <c r="EV5" s="32">
        <v>152</v>
      </c>
      <c r="EW5" s="32">
        <v>153</v>
      </c>
      <c r="EX5" s="32">
        <v>154</v>
      </c>
      <c r="EY5" s="32">
        <v>155</v>
      </c>
      <c r="EZ5" s="32">
        <v>156</v>
      </c>
      <c r="FA5" s="34">
        <v>157</v>
      </c>
      <c r="FB5" s="35">
        <v>158</v>
      </c>
      <c r="FC5" s="35">
        <v>159</v>
      </c>
      <c r="FD5" s="35">
        <v>160</v>
      </c>
      <c r="FE5" s="35">
        <v>161</v>
      </c>
      <c r="FF5" s="35">
        <v>162</v>
      </c>
      <c r="FG5" s="36">
        <v>163</v>
      </c>
      <c r="FH5" s="32">
        <v>164</v>
      </c>
      <c r="FI5" s="32">
        <v>165</v>
      </c>
      <c r="FJ5" s="34">
        <v>166</v>
      </c>
      <c r="FK5" s="32">
        <v>167</v>
      </c>
      <c r="FL5" s="32">
        <v>168</v>
      </c>
      <c r="FM5" s="32">
        <v>169</v>
      </c>
      <c r="FN5" s="32">
        <v>170</v>
      </c>
      <c r="FO5" s="32">
        <v>171</v>
      </c>
      <c r="FP5" s="32">
        <v>172</v>
      </c>
      <c r="FQ5" s="34">
        <v>173</v>
      </c>
      <c r="FR5" s="32">
        <v>174</v>
      </c>
      <c r="FS5" s="32">
        <v>175</v>
      </c>
      <c r="FT5" s="32">
        <v>176</v>
      </c>
      <c r="FU5" s="34">
        <v>177</v>
      </c>
      <c r="FV5" s="41">
        <v>178</v>
      </c>
      <c r="FW5" s="41">
        <v>179</v>
      </c>
      <c r="FX5" s="44">
        <v>180</v>
      </c>
      <c r="FY5" s="41">
        <v>181</v>
      </c>
      <c r="FZ5" s="44">
        <v>182</v>
      </c>
      <c r="GA5" s="42">
        <v>183</v>
      </c>
      <c r="GB5" s="35">
        <v>184</v>
      </c>
      <c r="GC5" s="35">
        <v>185</v>
      </c>
      <c r="GD5" s="35">
        <v>186</v>
      </c>
      <c r="GE5" s="35">
        <v>187</v>
      </c>
      <c r="GF5" s="45">
        <v>188</v>
      </c>
      <c r="GG5" s="45">
        <v>189</v>
      </c>
      <c r="GH5" s="36">
        <v>190</v>
      </c>
    </row>
    <row r="6" spans="1:190" x14ac:dyDescent="0.3">
      <c r="A6" s="23" t="s">
        <v>207</v>
      </c>
      <c r="B6" s="24" t="s">
        <v>208</v>
      </c>
      <c r="C6" s="23" t="s">
        <v>207</v>
      </c>
      <c r="D6" s="26" t="s">
        <v>207</v>
      </c>
      <c r="E6" s="26" t="s">
        <v>207</v>
      </c>
      <c r="F6" s="26" t="s">
        <v>207</v>
      </c>
      <c r="G6" s="26" t="s">
        <v>207</v>
      </c>
      <c r="H6" s="26" t="s">
        <v>207</v>
      </c>
      <c r="I6" s="26" t="s">
        <v>207</v>
      </c>
      <c r="J6" s="26" t="s">
        <v>207</v>
      </c>
      <c r="K6" s="26" t="s">
        <v>207</v>
      </c>
      <c r="L6" s="26" t="s">
        <v>207</v>
      </c>
      <c r="M6" s="26" t="s">
        <v>207</v>
      </c>
      <c r="N6" s="26" t="s">
        <v>207</v>
      </c>
      <c r="O6" s="26" t="s">
        <v>207</v>
      </c>
      <c r="P6" s="26" t="s">
        <v>207</v>
      </c>
      <c r="Q6" s="27" t="s">
        <v>207</v>
      </c>
      <c r="R6" s="46" t="s">
        <v>208</v>
      </c>
      <c r="S6" s="29" t="s">
        <v>207</v>
      </c>
      <c r="T6" s="29" t="s">
        <v>207</v>
      </c>
      <c r="U6" s="31" t="s">
        <v>208</v>
      </c>
      <c r="V6" s="29" t="s">
        <v>207</v>
      </c>
      <c r="W6" s="29" t="s">
        <v>207</v>
      </c>
      <c r="X6" s="31" t="s">
        <v>208</v>
      </c>
      <c r="Y6" s="29" t="s">
        <v>207</v>
      </c>
      <c r="Z6" s="29" t="s">
        <v>207</v>
      </c>
      <c r="AA6" s="31" t="s">
        <v>208</v>
      </c>
      <c r="AB6" s="29" t="s">
        <v>207</v>
      </c>
      <c r="AC6" s="29" t="s">
        <v>207</v>
      </c>
      <c r="AD6" s="31" t="s">
        <v>208</v>
      </c>
      <c r="AE6" s="29" t="s">
        <v>207</v>
      </c>
      <c r="AF6" s="29" t="s">
        <v>207</v>
      </c>
      <c r="AG6" s="31" t="s">
        <v>208</v>
      </c>
      <c r="AH6" s="31" t="s">
        <v>208</v>
      </c>
      <c r="AI6" s="31" t="s">
        <v>208</v>
      </c>
      <c r="AJ6" s="31" t="s">
        <v>208</v>
      </c>
      <c r="AK6" s="47" t="s">
        <v>208</v>
      </c>
      <c r="AL6" s="32" t="s">
        <v>207</v>
      </c>
      <c r="AM6" s="32" t="s">
        <v>207</v>
      </c>
      <c r="AN6" s="33" t="s">
        <v>207</v>
      </c>
      <c r="AO6" s="34" t="s">
        <v>208</v>
      </c>
      <c r="AP6" s="35" t="s">
        <v>207</v>
      </c>
      <c r="AQ6" s="35" t="s">
        <v>207</v>
      </c>
      <c r="AR6" s="35" t="s">
        <v>207</v>
      </c>
      <c r="AS6" s="36" t="s">
        <v>208</v>
      </c>
      <c r="AT6" s="32" t="s">
        <v>207</v>
      </c>
      <c r="AU6" s="32" t="s">
        <v>207</v>
      </c>
      <c r="AV6" s="32" t="s">
        <v>207</v>
      </c>
      <c r="AW6" s="32" t="s">
        <v>207</v>
      </c>
      <c r="AX6" s="34" t="s">
        <v>208</v>
      </c>
      <c r="AY6" s="35" t="s">
        <v>207</v>
      </c>
      <c r="AZ6" s="35" t="s">
        <v>207</v>
      </c>
      <c r="BA6" s="35" t="s">
        <v>207</v>
      </c>
      <c r="BB6" s="36" t="s">
        <v>208</v>
      </c>
      <c r="BC6" s="37" t="s">
        <v>207</v>
      </c>
      <c r="BD6" s="37" t="s">
        <v>207</v>
      </c>
      <c r="BE6" s="38" t="s">
        <v>207</v>
      </c>
      <c r="BF6" s="37" t="s">
        <v>207</v>
      </c>
      <c r="BG6" s="37" t="s">
        <v>207</v>
      </c>
      <c r="BH6" s="39" t="s">
        <v>208</v>
      </c>
      <c r="BI6" s="38" t="s">
        <v>207</v>
      </c>
      <c r="BJ6" s="38" t="s">
        <v>207</v>
      </c>
      <c r="BK6" s="38" t="s">
        <v>208</v>
      </c>
      <c r="BL6" s="38" t="s">
        <v>208</v>
      </c>
      <c r="BM6" s="37" t="s">
        <v>207</v>
      </c>
      <c r="BN6" s="37" t="s">
        <v>207</v>
      </c>
      <c r="BO6" s="37" t="s">
        <v>207</v>
      </c>
      <c r="BP6" s="39" t="s">
        <v>208</v>
      </c>
      <c r="BQ6" s="37" t="s">
        <v>207</v>
      </c>
      <c r="BR6" s="37" t="s">
        <v>207</v>
      </c>
      <c r="BS6" s="37" t="s">
        <v>207</v>
      </c>
      <c r="BT6" s="39" t="s">
        <v>208</v>
      </c>
      <c r="BU6" s="37" t="s">
        <v>207</v>
      </c>
      <c r="BV6" s="37" t="s">
        <v>207</v>
      </c>
      <c r="BW6" s="37" t="s">
        <v>207</v>
      </c>
      <c r="BX6" s="37" t="s">
        <v>207</v>
      </c>
      <c r="BY6" s="37" t="s">
        <v>207</v>
      </c>
      <c r="BZ6" s="37" t="s">
        <v>207</v>
      </c>
      <c r="CA6" s="39" t="s">
        <v>208</v>
      </c>
      <c r="CB6" s="37" t="s">
        <v>207</v>
      </c>
      <c r="CC6" s="37" t="s">
        <v>207</v>
      </c>
      <c r="CD6" s="38" t="s">
        <v>207</v>
      </c>
      <c r="CE6" s="39" t="s">
        <v>208</v>
      </c>
      <c r="CF6" s="40" t="s">
        <v>207</v>
      </c>
      <c r="CG6" s="40" t="s">
        <v>207</v>
      </c>
      <c r="CH6" s="40" t="s">
        <v>207</v>
      </c>
      <c r="CI6" s="40" t="s">
        <v>207</v>
      </c>
      <c r="CJ6" s="40" t="s">
        <v>207</v>
      </c>
      <c r="CK6" s="40" t="s">
        <v>207</v>
      </c>
      <c r="CL6" s="40" t="s">
        <v>207</v>
      </c>
      <c r="CM6" s="40" t="s">
        <v>207</v>
      </c>
      <c r="CN6" s="40" t="s">
        <v>207</v>
      </c>
      <c r="CO6" s="40" t="s">
        <v>207</v>
      </c>
      <c r="CP6" s="40" t="s">
        <v>207</v>
      </c>
      <c r="CQ6" s="40" t="s">
        <v>207</v>
      </c>
      <c r="CR6" s="40" t="s">
        <v>207</v>
      </c>
      <c r="CS6" s="17" t="s">
        <v>208</v>
      </c>
      <c r="CT6" s="32" t="s">
        <v>207</v>
      </c>
      <c r="CU6" s="32" t="s">
        <v>207</v>
      </c>
      <c r="CV6" s="32" t="s">
        <v>207</v>
      </c>
      <c r="CW6" s="32" t="s">
        <v>207</v>
      </c>
      <c r="CX6" s="32" t="s">
        <v>207</v>
      </c>
      <c r="CY6" s="32" t="s">
        <v>207</v>
      </c>
      <c r="CZ6" s="32" t="s">
        <v>207</v>
      </c>
      <c r="DA6" s="32" t="s">
        <v>207</v>
      </c>
      <c r="DB6" s="32" t="s">
        <v>207</v>
      </c>
      <c r="DC6" s="34" t="s">
        <v>208</v>
      </c>
      <c r="DD6" s="35" t="s">
        <v>207</v>
      </c>
      <c r="DE6" s="35" t="s">
        <v>207</v>
      </c>
      <c r="DF6" s="35" t="s">
        <v>207</v>
      </c>
      <c r="DG6" s="35" t="s">
        <v>207</v>
      </c>
      <c r="DH6" s="35" t="s">
        <v>207</v>
      </c>
      <c r="DI6" s="36" t="s">
        <v>208</v>
      </c>
      <c r="DJ6" s="41" t="s">
        <v>207</v>
      </c>
      <c r="DK6" s="41" t="s">
        <v>207</v>
      </c>
      <c r="DL6" s="41" t="s">
        <v>207</v>
      </c>
      <c r="DM6" s="41" t="s">
        <v>207</v>
      </c>
      <c r="DN6" s="41" t="s">
        <v>207</v>
      </c>
      <c r="DO6" s="41" t="s">
        <v>207</v>
      </c>
      <c r="DP6" s="41" t="s">
        <v>207</v>
      </c>
      <c r="DQ6" s="41" t="s">
        <v>207</v>
      </c>
      <c r="DR6" s="41" t="s">
        <v>207</v>
      </c>
      <c r="DS6" s="41" t="s">
        <v>207</v>
      </c>
      <c r="DT6" s="42" t="s">
        <v>208</v>
      </c>
      <c r="DU6" s="41" t="s">
        <v>207</v>
      </c>
      <c r="DV6" s="41" t="s">
        <v>207</v>
      </c>
      <c r="DW6" s="42" t="s">
        <v>208</v>
      </c>
      <c r="DX6" s="40" t="s">
        <v>207</v>
      </c>
      <c r="DY6" s="40" t="s">
        <v>207</v>
      </c>
      <c r="DZ6" s="40" t="s">
        <v>207</v>
      </c>
      <c r="EA6" s="40" t="s">
        <v>207</v>
      </c>
      <c r="EB6" s="40" t="s">
        <v>207</v>
      </c>
      <c r="EC6" s="40" t="s">
        <v>207</v>
      </c>
      <c r="ED6" s="40" t="s">
        <v>207</v>
      </c>
      <c r="EE6" s="40" t="s">
        <v>207</v>
      </c>
      <c r="EF6" s="40" t="s">
        <v>207</v>
      </c>
      <c r="EG6" s="40" t="s">
        <v>207</v>
      </c>
      <c r="EH6" s="40" t="s">
        <v>207</v>
      </c>
      <c r="EI6" s="40" t="s">
        <v>207</v>
      </c>
      <c r="EJ6" s="40" t="s">
        <v>207</v>
      </c>
      <c r="EK6" s="40" t="s">
        <v>207</v>
      </c>
      <c r="EL6" s="40" t="s">
        <v>207</v>
      </c>
      <c r="EM6" s="40" t="s">
        <v>207</v>
      </c>
      <c r="EN6" s="40" t="s">
        <v>207</v>
      </c>
      <c r="EO6" s="47" t="s">
        <v>208</v>
      </c>
      <c r="EP6" s="17" t="s">
        <v>208</v>
      </c>
      <c r="EQ6" s="32" t="s">
        <v>207</v>
      </c>
      <c r="ER6" s="32" t="s">
        <v>207</v>
      </c>
      <c r="ES6" s="32" t="s">
        <v>207</v>
      </c>
      <c r="ET6" s="32" t="s">
        <v>207</v>
      </c>
      <c r="EU6" s="32" t="s">
        <v>207</v>
      </c>
      <c r="EV6" s="32" t="s">
        <v>207</v>
      </c>
      <c r="EW6" s="32" t="s">
        <v>207</v>
      </c>
      <c r="EX6" s="32" t="s">
        <v>207</v>
      </c>
      <c r="EY6" s="32" t="s">
        <v>207</v>
      </c>
      <c r="EZ6" s="32" t="s">
        <v>207</v>
      </c>
      <c r="FA6" s="34" t="s">
        <v>208</v>
      </c>
      <c r="FB6" s="35" t="s">
        <v>207</v>
      </c>
      <c r="FC6" s="35" t="s">
        <v>207</v>
      </c>
      <c r="FD6" s="35" t="s">
        <v>207</v>
      </c>
      <c r="FE6" s="35" t="s">
        <v>207</v>
      </c>
      <c r="FF6" s="35" t="s">
        <v>207</v>
      </c>
      <c r="FG6" s="36" t="s">
        <v>208</v>
      </c>
      <c r="FH6" s="32" t="s">
        <v>207</v>
      </c>
      <c r="FI6" s="32" t="s">
        <v>207</v>
      </c>
      <c r="FJ6" s="34" t="s">
        <v>208</v>
      </c>
      <c r="FK6" s="32" t="s">
        <v>207</v>
      </c>
      <c r="FL6" s="32" t="s">
        <v>207</v>
      </c>
      <c r="FM6" s="32" t="s">
        <v>207</v>
      </c>
      <c r="FN6" s="32" t="s">
        <v>207</v>
      </c>
      <c r="FO6" s="32" t="s">
        <v>207</v>
      </c>
      <c r="FP6" s="32" t="s">
        <v>207</v>
      </c>
      <c r="FQ6" s="34" t="s">
        <v>208</v>
      </c>
      <c r="FR6" s="32" t="s">
        <v>207</v>
      </c>
      <c r="FS6" s="32" t="s">
        <v>207</v>
      </c>
      <c r="FT6" s="32" t="s">
        <v>207</v>
      </c>
      <c r="FU6" s="34" t="s">
        <v>208</v>
      </c>
      <c r="FV6" s="41" t="s">
        <v>207</v>
      </c>
      <c r="FW6" s="41" t="s">
        <v>207</v>
      </c>
      <c r="FX6" s="44" t="s">
        <v>207</v>
      </c>
      <c r="FY6" s="41" t="s">
        <v>207</v>
      </c>
      <c r="FZ6" s="44" t="s">
        <v>207</v>
      </c>
      <c r="GA6" s="42" t="s">
        <v>208</v>
      </c>
      <c r="GB6" s="35" t="s">
        <v>207</v>
      </c>
      <c r="GC6" s="35" t="s">
        <v>207</v>
      </c>
      <c r="GD6" s="35" t="s">
        <v>207</v>
      </c>
      <c r="GE6" s="35" t="s">
        <v>207</v>
      </c>
      <c r="GF6" s="45" t="s">
        <v>207</v>
      </c>
      <c r="GG6" s="45" t="s">
        <v>207</v>
      </c>
      <c r="GH6" s="36" t="s">
        <v>208</v>
      </c>
    </row>
    <row r="7" spans="1:190" ht="21.6" x14ac:dyDescent="0.3">
      <c r="A7" s="48">
        <v>1</v>
      </c>
      <c r="B7" s="48">
        <v>2026</v>
      </c>
      <c r="C7" s="49" t="s">
        <v>209</v>
      </c>
      <c r="D7" s="50">
        <v>6375</v>
      </c>
      <c r="E7" s="49">
        <v>4</v>
      </c>
      <c r="F7" s="49">
        <v>8</v>
      </c>
      <c r="G7" s="49">
        <v>8</v>
      </c>
      <c r="H7" s="49">
        <v>0</v>
      </c>
      <c r="I7" s="49">
        <v>2</v>
      </c>
      <c r="J7" s="49">
        <v>1</v>
      </c>
      <c r="K7" s="49">
        <v>27</v>
      </c>
      <c r="L7" s="49">
        <v>225</v>
      </c>
      <c r="M7" s="49">
        <v>8</v>
      </c>
      <c r="N7" s="49">
        <v>5</v>
      </c>
      <c r="O7" s="50">
        <v>1654</v>
      </c>
      <c r="P7" s="50">
        <v>217</v>
      </c>
      <c r="Q7" s="51">
        <f>O7+P7</f>
        <v>1871</v>
      </c>
      <c r="R7" s="52" t="s">
        <v>210</v>
      </c>
      <c r="S7" s="53">
        <v>25.56</v>
      </c>
      <c r="T7" s="53">
        <v>6.11</v>
      </c>
      <c r="U7" s="54">
        <f>S7+T7</f>
        <v>31.669999999999998</v>
      </c>
      <c r="V7" s="53">
        <v>2.96</v>
      </c>
      <c r="W7" s="53">
        <v>0.88</v>
      </c>
      <c r="X7" s="54">
        <f>V7+W7</f>
        <v>3.84</v>
      </c>
      <c r="Y7" s="53">
        <v>10.76</v>
      </c>
      <c r="Z7" s="53">
        <v>2.08</v>
      </c>
      <c r="AA7" s="54">
        <f>Y7+Z7</f>
        <v>12.84</v>
      </c>
      <c r="AB7" s="53">
        <v>33.75</v>
      </c>
      <c r="AC7" s="53">
        <v>20.75</v>
      </c>
      <c r="AD7" s="54">
        <f>AB7+AC7</f>
        <v>54.5</v>
      </c>
      <c r="AE7" s="55">
        <v>6.72</v>
      </c>
      <c r="AF7" s="55">
        <v>13.64</v>
      </c>
      <c r="AG7" s="54">
        <f>AE7+AF7</f>
        <v>20.36</v>
      </c>
      <c r="AH7" s="54">
        <f>S7+V7+Y7+AB7+AE7</f>
        <v>79.75</v>
      </c>
      <c r="AI7" s="54">
        <f>T7+W7+Z7+AC7+AF7</f>
        <v>43.46</v>
      </c>
      <c r="AJ7" s="54">
        <f>U7+X7+AA7+AD7+AG7</f>
        <v>123.21</v>
      </c>
      <c r="AK7" s="48" t="s">
        <v>211</v>
      </c>
      <c r="AL7" s="56">
        <v>1326.7</v>
      </c>
      <c r="AM7" s="56">
        <v>1324.2625</v>
      </c>
      <c r="AN7" s="57">
        <f>AM7-AL7</f>
        <v>-2.4375</v>
      </c>
      <c r="AO7" s="58" t="s">
        <v>212</v>
      </c>
      <c r="AP7" s="50">
        <v>8414</v>
      </c>
      <c r="AQ7" s="56">
        <v>18749.43132</v>
      </c>
      <c r="AR7" s="50">
        <v>64298</v>
      </c>
      <c r="AS7" s="52" t="s">
        <v>213</v>
      </c>
      <c r="AT7" s="50">
        <v>355</v>
      </c>
      <c r="AU7" s="56">
        <v>58.75</v>
      </c>
      <c r="AV7" s="56">
        <v>0.28000000000000003</v>
      </c>
      <c r="AW7" s="50">
        <v>650</v>
      </c>
      <c r="AX7" s="52" t="s">
        <v>213</v>
      </c>
      <c r="AY7" s="50">
        <v>189</v>
      </c>
      <c r="AZ7" s="56">
        <v>60.9</v>
      </c>
      <c r="BA7" s="50">
        <v>211</v>
      </c>
      <c r="BB7" s="52" t="s">
        <v>213</v>
      </c>
      <c r="BC7" s="50">
        <v>656</v>
      </c>
      <c r="BD7" s="50">
        <v>618</v>
      </c>
      <c r="BE7" s="51">
        <f>BC7+BD7</f>
        <v>1274</v>
      </c>
      <c r="BF7" s="50">
        <v>1067</v>
      </c>
      <c r="BG7" s="50">
        <v>207</v>
      </c>
      <c r="BH7" s="48" t="s">
        <v>210</v>
      </c>
      <c r="BI7" s="57">
        <f>BF7/$BE7*100</f>
        <v>83.751962323390899</v>
      </c>
      <c r="BJ7" s="57">
        <f>BG7/$BE7*100</f>
        <v>16.248037676609105</v>
      </c>
      <c r="BK7" s="57">
        <f t="shared" ref="BK7:BL37" si="0">BC7/$BE7*100</f>
        <v>51.49136577708007</v>
      </c>
      <c r="BL7" s="57">
        <f t="shared" si="0"/>
        <v>48.508634222919937</v>
      </c>
      <c r="BM7" s="50">
        <v>953</v>
      </c>
      <c r="BN7" s="50">
        <v>889</v>
      </c>
      <c r="BO7" s="50">
        <v>943</v>
      </c>
      <c r="BP7" s="48" t="s">
        <v>210</v>
      </c>
      <c r="BQ7" s="56">
        <v>8.6999999999999993</v>
      </c>
      <c r="BR7" s="56">
        <v>30.4</v>
      </c>
      <c r="BS7" s="56">
        <v>11.7</v>
      </c>
      <c r="BT7" s="48" t="s">
        <v>214</v>
      </c>
      <c r="BU7" s="50">
        <v>179</v>
      </c>
      <c r="BV7" s="50">
        <v>200</v>
      </c>
      <c r="BW7" s="56">
        <v>3.0347700581342578</v>
      </c>
      <c r="BX7" s="50">
        <v>80</v>
      </c>
      <c r="BY7" s="50">
        <v>72</v>
      </c>
      <c r="BZ7" s="50">
        <v>152</v>
      </c>
      <c r="CA7" s="48" t="s">
        <v>210</v>
      </c>
      <c r="CB7" s="50">
        <v>733</v>
      </c>
      <c r="CC7" s="50">
        <v>699</v>
      </c>
      <c r="CD7" s="51">
        <f>CB7+CC7</f>
        <v>1432</v>
      </c>
      <c r="CE7" s="52" t="s">
        <v>215</v>
      </c>
      <c r="CF7" s="56">
        <v>434.88</v>
      </c>
      <c r="CG7" s="56">
        <v>0.02</v>
      </c>
      <c r="CH7" s="56">
        <v>8.6199999999999992</v>
      </c>
      <c r="CI7" s="56">
        <v>2.88</v>
      </c>
      <c r="CJ7" s="56">
        <v>15.71</v>
      </c>
      <c r="CK7" s="56">
        <v>13.82</v>
      </c>
      <c r="CL7" s="56">
        <v>7.83</v>
      </c>
      <c r="CM7" s="56">
        <v>7.49</v>
      </c>
      <c r="CN7" s="59">
        <v>16.920000000000002</v>
      </c>
      <c r="CO7" s="59">
        <v>2.7</v>
      </c>
      <c r="CP7" s="59">
        <v>11.86</v>
      </c>
      <c r="CQ7" s="55">
        <v>20.65</v>
      </c>
      <c r="CR7" s="55">
        <v>4.2300000000000004</v>
      </c>
      <c r="CS7" s="60" t="s">
        <v>216</v>
      </c>
      <c r="CT7" s="50">
        <v>311</v>
      </c>
      <c r="CU7" s="50">
        <v>23</v>
      </c>
      <c r="CV7" s="50">
        <v>36</v>
      </c>
      <c r="CW7" s="50">
        <v>19</v>
      </c>
      <c r="CX7" s="50">
        <v>14</v>
      </c>
      <c r="CY7" s="50">
        <v>2</v>
      </c>
      <c r="CZ7" s="50">
        <v>29</v>
      </c>
      <c r="DA7" s="50">
        <v>17</v>
      </c>
      <c r="DB7" s="50">
        <v>187</v>
      </c>
      <c r="DC7" s="60" t="s">
        <v>216</v>
      </c>
      <c r="DD7" s="56">
        <v>4.71</v>
      </c>
      <c r="DE7" s="56">
        <v>2.36</v>
      </c>
      <c r="DF7" s="56">
        <v>0.47</v>
      </c>
      <c r="DG7" s="56">
        <v>17.309999999999999</v>
      </c>
      <c r="DH7" s="56">
        <v>26.5</v>
      </c>
      <c r="DI7" s="60" t="s">
        <v>216</v>
      </c>
      <c r="DJ7" s="56">
        <v>283.82</v>
      </c>
      <c r="DK7" s="56">
        <v>159.83500000000001</v>
      </c>
      <c r="DL7" s="56">
        <v>30.896999999999998</v>
      </c>
      <c r="DM7" s="56">
        <v>1249.3679999999999</v>
      </c>
      <c r="DN7" s="56">
        <v>2558.84</v>
      </c>
      <c r="DO7" s="56" t="s">
        <v>217</v>
      </c>
      <c r="DP7" s="56" t="s">
        <v>217</v>
      </c>
      <c r="DQ7" s="56" t="s">
        <v>217</v>
      </c>
      <c r="DR7" s="56" t="s">
        <v>217</v>
      </c>
      <c r="DS7" s="56">
        <v>449.53</v>
      </c>
      <c r="DT7" s="48" t="s">
        <v>213</v>
      </c>
      <c r="DU7" s="56">
        <v>153</v>
      </c>
      <c r="DV7" s="49">
        <v>15</v>
      </c>
      <c r="DW7" s="48" t="s">
        <v>213</v>
      </c>
      <c r="DX7" s="49">
        <v>746</v>
      </c>
      <c r="DY7" s="49">
        <v>97287</v>
      </c>
      <c r="DZ7" s="49">
        <v>17</v>
      </c>
      <c r="EA7" s="49">
        <v>669</v>
      </c>
      <c r="EB7" s="49">
        <v>63640</v>
      </c>
      <c r="EC7" s="49">
        <v>14</v>
      </c>
      <c r="ED7" s="49">
        <v>269</v>
      </c>
      <c r="EE7" s="49">
        <v>38337</v>
      </c>
      <c r="EF7" s="49">
        <v>17</v>
      </c>
      <c r="EG7" s="49">
        <v>85</v>
      </c>
      <c r="EH7" s="49">
        <v>23537</v>
      </c>
      <c r="EI7" s="49">
        <v>34</v>
      </c>
      <c r="EJ7" s="50">
        <v>68</v>
      </c>
      <c r="EK7" s="50">
        <v>27</v>
      </c>
      <c r="EL7" s="56">
        <v>86</v>
      </c>
      <c r="EM7" s="56">
        <v>68.599999999999994</v>
      </c>
      <c r="EN7" s="56">
        <v>77.5</v>
      </c>
      <c r="EO7" s="48" t="s">
        <v>213</v>
      </c>
      <c r="EP7" s="48" t="s">
        <v>210</v>
      </c>
      <c r="EQ7" s="50">
        <v>1</v>
      </c>
      <c r="ER7" s="50">
        <v>1</v>
      </c>
      <c r="ES7" s="50">
        <v>3</v>
      </c>
      <c r="ET7" s="50">
        <v>9</v>
      </c>
      <c r="EU7" s="50">
        <v>33</v>
      </c>
      <c r="EV7" s="50">
        <v>166</v>
      </c>
      <c r="EW7" s="50">
        <v>1</v>
      </c>
      <c r="EX7" s="50">
        <v>392</v>
      </c>
      <c r="EY7" s="50">
        <v>16</v>
      </c>
      <c r="EZ7" s="50">
        <v>19</v>
      </c>
      <c r="FA7" s="61">
        <v>45352</v>
      </c>
      <c r="FB7" s="50">
        <v>289</v>
      </c>
      <c r="FC7" s="50">
        <v>1654</v>
      </c>
      <c r="FD7" s="50">
        <v>203</v>
      </c>
      <c r="FE7" s="56">
        <v>21041.41701849956</v>
      </c>
      <c r="FF7" s="56">
        <v>13288.79121826132</v>
      </c>
      <c r="FG7" s="61">
        <v>45717</v>
      </c>
      <c r="FH7" s="50">
        <v>16</v>
      </c>
      <c r="FI7" s="49">
        <v>91</v>
      </c>
      <c r="FJ7" s="48" t="s">
        <v>213</v>
      </c>
      <c r="FK7" s="49">
        <v>364263</v>
      </c>
      <c r="FL7" s="49">
        <v>6321</v>
      </c>
      <c r="FM7" s="49">
        <v>35110</v>
      </c>
      <c r="FN7" s="49">
        <v>200353</v>
      </c>
      <c r="FO7" s="49">
        <v>1461</v>
      </c>
      <c r="FP7" s="49">
        <v>221122</v>
      </c>
      <c r="FQ7" s="48" t="s">
        <v>218</v>
      </c>
      <c r="FR7" s="53">
        <v>83.61999999999999</v>
      </c>
      <c r="FS7" s="53">
        <v>567.1</v>
      </c>
      <c r="FT7" s="53">
        <v>10.11</v>
      </c>
      <c r="FU7" s="48" t="s">
        <v>213</v>
      </c>
      <c r="FV7" s="50">
        <v>29191</v>
      </c>
      <c r="FW7" s="50">
        <v>0</v>
      </c>
      <c r="FX7" s="51">
        <f>FV7+FW7</f>
        <v>29191</v>
      </c>
      <c r="FY7" s="50">
        <v>0</v>
      </c>
      <c r="FZ7" s="51">
        <f>FX7+FY7</f>
        <v>29191</v>
      </c>
      <c r="GA7" s="48" t="s">
        <v>213</v>
      </c>
      <c r="GB7" s="49">
        <v>16130</v>
      </c>
      <c r="GC7" s="53">
        <v>60130</v>
      </c>
      <c r="GD7" s="49">
        <v>16252</v>
      </c>
      <c r="GE7" s="49">
        <v>67104.289999999994</v>
      </c>
      <c r="GF7" s="54">
        <f>GD7/GB7*100</f>
        <v>100.75635461872288</v>
      </c>
      <c r="GG7" s="54">
        <f>GE7/GC7*100</f>
        <v>111.59868617994344</v>
      </c>
      <c r="GH7" s="48" t="s">
        <v>219</v>
      </c>
    </row>
    <row r="8" spans="1:190" ht="21.6" x14ac:dyDescent="0.3">
      <c r="A8" s="48">
        <v>2</v>
      </c>
      <c r="B8" s="48">
        <v>2026</v>
      </c>
      <c r="C8" s="49" t="s">
        <v>220</v>
      </c>
      <c r="D8" s="50">
        <v>3806</v>
      </c>
      <c r="E8" s="49">
        <v>2</v>
      </c>
      <c r="F8" s="49">
        <v>12</v>
      </c>
      <c r="G8" s="49">
        <v>12</v>
      </c>
      <c r="H8" s="49">
        <v>1</v>
      </c>
      <c r="I8" s="49">
        <v>3</v>
      </c>
      <c r="J8" s="49">
        <v>2</v>
      </c>
      <c r="K8" s="49">
        <v>29</v>
      </c>
      <c r="L8" s="49">
        <v>356</v>
      </c>
      <c r="M8" s="49">
        <v>12</v>
      </c>
      <c r="N8" s="49">
        <v>8</v>
      </c>
      <c r="O8" s="50">
        <v>2635</v>
      </c>
      <c r="P8" s="50">
        <v>297</v>
      </c>
      <c r="Q8" s="51">
        <f>O8+P8</f>
        <v>2932</v>
      </c>
      <c r="R8" s="52" t="s">
        <v>210</v>
      </c>
      <c r="S8" s="53">
        <v>28.1</v>
      </c>
      <c r="T8" s="53">
        <v>3.63</v>
      </c>
      <c r="U8" s="54">
        <f t="shared" ref="U8:U37" si="1">S8+T8</f>
        <v>31.73</v>
      </c>
      <c r="V8" s="53">
        <v>0</v>
      </c>
      <c r="W8" s="53">
        <v>0</v>
      </c>
      <c r="X8" s="54">
        <f t="shared" ref="X8:X37" si="2">V8+W8</f>
        <v>0</v>
      </c>
      <c r="Y8" s="53">
        <v>0.28999999999999998</v>
      </c>
      <c r="Z8" s="53">
        <v>0.36</v>
      </c>
      <c r="AA8" s="54">
        <f t="shared" ref="AA8:AA37" si="3">Y8+Z8</f>
        <v>0.64999999999999991</v>
      </c>
      <c r="AB8" s="53">
        <v>115.01</v>
      </c>
      <c r="AC8" s="53">
        <v>48.31</v>
      </c>
      <c r="AD8" s="54">
        <f t="shared" ref="AD8:AD37" si="4">AB8+AC8</f>
        <v>163.32</v>
      </c>
      <c r="AE8" s="55">
        <v>6.19</v>
      </c>
      <c r="AF8" s="55">
        <v>58.15</v>
      </c>
      <c r="AG8" s="54">
        <f t="shared" ref="AG8:AG37" si="5">AE8+AF8</f>
        <v>64.34</v>
      </c>
      <c r="AH8" s="54">
        <f t="shared" ref="AH8:AJ37" si="6">S8+V8+Y8+AB8+AE8</f>
        <v>149.59</v>
      </c>
      <c r="AI8" s="54">
        <f t="shared" si="6"/>
        <v>110.45</v>
      </c>
      <c r="AJ8" s="54">
        <f t="shared" si="6"/>
        <v>260.03999999999996</v>
      </c>
      <c r="AK8" s="48" t="s">
        <v>211</v>
      </c>
      <c r="AL8" s="56">
        <v>1720.9</v>
      </c>
      <c r="AM8" s="56">
        <v>1366.9166666666665</v>
      </c>
      <c r="AN8" s="57">
        <f t="shared" ref="AN8:AN37" si="7">AM8-AL8</f>
        <v>-353.98333333333358</v>
      </c>
      <c r="AO8" s="58" t="s">
        <v>212</v>
      </c>
      <c r="AP8" s="50">
        <v>7739</v>
      </c>
      <c r="AQ8" s="56">
        <v>20420.28901</v>
      </c>
      <c r="AR8" s="50">
        <v>166315</v>
      </c>
      <c r="AS8" s="52" t="s">
        <v>213</v>
      </c>
      <c r="AT8" s="50">
        <v>962</v>
      </c>
      <c r="AU8" s="56">
        <v>644</v>
      </c>
      <c r="AV8" s="56">
        <v>2.2599999999999998</v>
      </c>
      <c r="AW8" s="50">
        <v>1800</v>
      </c>
      <c r="AX8" s="52" t="s">
        <v>213</v>
      </c>
      <c r="AY8" s="50">
        <v>803</v>
      </c>
      <c r="AZ8" s="56">
        <v>648</v>
      </c>
      <c r="BA8" s="50">
        <v>1845</v>
      </c>
      <c r="BB8" s="52" t="s">
        <v>213</v>
      </c>
      <c r="BC8" s="50">
        <v>1186</v>
      </c>
      <c r="BD8" s="50">
        <v>1134</v>
      </c>
      <c r="BE8" s="51">
        <f t="shared" ref="BE8:BE37" si="8">BC8+BD8</f>
        <v>2320</v>
      </c>
      <c r="BF8" s="50">
        <v>2067</v>
      </c>
      <c r="BG8" s="50">
        <v>253</v>
      </c>
      <c r="BH8" s="48" t="s">
        <v>210</v>
      </c>
      <c r="BI8" s="57">
        <f t="shared" ref="BI8:BJ37" si="9">BF8/$BE8*100</f>
        <v>89.09482758620689</v>
      </c>
      <c r="BJ8" s="57">
        <f t="shared" si="9"/>
        <v>10.905172413793103</v>
      </c>
      <c r="BK8" s="57">
        <f t="shared" si="0"/>
        <v>51.120689655172413</v>
      </c>
      <c r="BL8" s="57">
        <f t="shared" si="0"/>
        <v>48.879310344827587</v>
      </c>
      <c r="BM8" s="50">
        <v>957</v>
      </c>
      <c r="BN8" s="50">
        <v>959</v>
      </c>
      <c r="BO8" s="50">
        <v>957</v>
      </c>
      <c r="BP8" s="48" t="s">
        <v>210</v>
      </c>
      <c r="BQ8" s="56">
        <v>14.6</v>
      </c>
      <c r="BR8" s="56">
        <v>14.9</v>
      </c>
      <c r="BS8" s="56">
        <v>14.6</v>
      </c>
      <c r="BT8" s="48" t="s">
        <v>214</v>
      </c>
      <c r="BU8" s="50">
        <v>532</v>
      </c>
      <c r="BV8" s="50">
        <v>610</v>
      </c>
      <c r="BW8" s="56">
        <v>5.5284627339573067</v>
      </c>
      <c r="BX8" s="50">
        <v>149</v>
      </c>
      <c r="BY8" s="50">
        <v>140</v>
      </c>
      <c r="BZ8" s="50">
        <v>289</v>
      </c>
      <c r="CA8" s="48" t="s">
        <v>210</v>
      </c>
      <c r="CB8" s="50">
        <v>1322</v>
      </c>
      <c r="CC8" s="50">
        <v>1278</v>
      </c>
      <c r="CD8" s="51">
        <f t="shared" ref="CD8:CD37" si="10">CB8+CC8</f>
        <v>2600</v>
      </c>
      <c r="CE8" s="52" t="s">
        <v>215</v>
      </c>
      <c r="CF8" s="56">
        <v>1197.2</v>
      </c>
      <c r="CG8" s="56">
        <v>0.09</v>
      </c>
      <c r="CH8" s="56">
        <v>2.16</v>
      </c>
      <c r="CI8" s="56">
        <v>0.25</v>
      </c>
      <c r="CJ8" s="56">
        <v>7.93</v>
      </c>
      <c r="CK8" s="56">
        <v>4.96</v>
      </c>
      <c r="CL8" s="56">
        <v>0.05</v>
      </c>
      <c r="CM8" s="56">
        <v>0.45</v>
      </c>
      <c r="CN8" s="59">
        <v>18.13</v>
      </c>
      <c r="CO8" s="59">
        <v>3.17</v>
      </c>
      <c r="CP8" s="59">
        <v>0</v>
      </c>
      <c r="CQ8" s="55">
        <v>8.48</v>
      </c>
      <c r="CR8" s="55">
        <v>15.33</v>
      </c>
      <c r="CS8" s="60" t="s">
        <v>216</v>
      </c>
      <c r="CT8" s="50">
        <v>36</v>
      </c>
      <c r="CU8" s="50">
        <v>25</v>
      </c>
      <c r="CV8" s="50">
        <v>16</v>
      </c>
      <c r="CW8" s="50">
        <v>9</v>
      </c>
      <c r="CX8" s="50">
        <v>31</v>
      </c>
      <c r="CY8" s="50">
        <v>9</v>
      </c>
      <c r="CZ8" s="50">
        <v>48</v>
      </c>
      <c r="DA8" s="50">
        <v>5</v>
      </c>
      <c r="DB8" s="50">
        <v>202</v>
      </c>
      <c r="DC8" s="60" t="s">
        <v>216</v>
      </c>
      <c r="DD8" s="56">
        <v>23.69</v>
      </c>
      <c r="DE8" s="56">
        <v>15.23</v>
      </c>
      <c r="DF8" s="56">
        <v>5.55</v>
      </c>
      <c r="DG8" s="56">
        <v>64.44</v>
      </c>
      <c r="DH8" s="56">
        <v>139.6</v>
      </c>
      <c r="DI8" s="60" t="s">
        <v>216</v>
      </c>
      <c r="DJ8" s="56">
        <v>116.14</v>
      </c>
      <c r="DK8" s="56">
        <v>115.628</v>
      </c>
      <c r="DL8" s="56">
        <v>107.081</v>
      </c>
      <c r="DM8" s="56">
        <v>709.53399999999999</v>
      </c>
      <c r="DN8" s="56">
        <v>5080.9160000000002</v>
      </c>
      <c r="DO8" s="56" t="s">
        <v>217</v>
      </c>
      <c r="DP8" s="56" t="s">
        <v>217</v>
      </c>
      <c r="DQ8" s="56" t="s">
        <v>217</v>
      </c>
      <c r="DR8" s="56" t="s">
        <v>217</v>
      </c>
      <c r="DS8" s="56">
        <v>119.8</v>
      </c>
      <c r="DT8" s="48" t="s">
        <v>213</v>
      </c>
      <c r="DU8" s="56">
        <v>131</v>
      </c>
      <c r="DV8" s="49">
        <v>20</v>
      </c>
      <c r="DW8" s="48" t="s">
        <v>213</v>
      </c>
      <c r="DX8" s="49">
        <v>1395</v>
      </c>
      <c r="DY8" s="49">
        <v>171805</v>
      </c>
      <c r="DZ8" s="49">
        <v>20</v>
      </c>
      <c r="EA8" s="49">
        <v>1184</v>
      </c>
      <c r="EB8" s="49">
        <v>114426</v>
      </c>
      <c r="EC8" s="49">
        <v>16</v>
      </c>
      <c r="ED8" s="49">
        <v>567</v>
      </c>
      <c r="EE8" s="49">
        <v>69301</v>
      </c>
      <c r="EF8" s="49">
        <v>16</v>
      </c>
      <c r="EG8" s="49">
        <v>168</v>
      </c>
      <c r="EH8" s="49">
        <v>52424</v>
      </c>
      <c r="EI8" s="49">
        <v>36</v>
      </c>
      <c r="EJ8" s="50">
        <v>158</v>
      </c>
      <c r="EK8" s="50">
        <v>73</v>
      </c>
      <c r="EL8" s="56">
        <v>87</v>
      </c>
      <c r="EM8" s="56">
        <v>72.3</v>
      </c>
      <c r="EN8" s="56">
        <v>79.8</v>
      </c>
      <c r="EO8" s="48" t="s">
        <v>213</v>
      </c>
      <c r="EP8" s="48" t="s">
        <v>210</v>
      </c>
      <c r="EQ8" s="50">
        <v>1</v>
      </c>
      <c r="ER8" s="50">
        <v>1</v>
      </c>
      <c r="ES8" s="50">
        <v>1</v>
      </c>
      <c r="ET8" s="50">
        <v>17</v>
      </c>
      <c r="EU8" s="50">
        <v>75</v>
      </c>
      <c r="EV8" s="50">
        <v>275</v>
      </c>
      <c r="EW8" s="50">
        <v>2</v>
      </c>
      <c r="EX8" s="50">
        <v>699</v>
      </c>
      <c r="EY8" s="50">
        <v>25</v>
      </c>
      <c r="EZ8" s="50">
        <v>32</v>
      </c>
      <c r="FA8" s="61">
        <v>45352</v>
      </c>
      <c r="FB8" s="50">
        <v>551</v>
      </c>
      <c r="FC8" s="50">
        <v>2635</v>
      </c>
      <c r="FD8" s="50">
        <v>205</v>
      </c>
      <c r="FE8" s="56">
        <v>11028.737930491599</v>
      </c>
      <c r="FF8" s="56">
        <v>8291.0822450735704</v>
      </c>
      <c r="FG8" s="61">
        <v>45717</v>
      </c>
      <c r="FH8" s="50">
        <v>21</v>
      </c>
      <c r="FI8" s="49">
        <v>137</v>
      </c>
      <c r="FJ8" s="48" t="s">
        <v>213</v>
      </c>
      <c r="FK8" s="49">
        <v>622128</v>
      </c>
      <c r="FL8" s="49">
        <v>1342</v>
      </c>
      <c r="FM8" s="49">
        <v>1987</v>
      </c>
      <c r="FN8" s="49">
        <v>313395</v>
      </c>
      <c r="FO8" s="49">
        <v>2851</v>
      </c>
      <c r="FP8" s="49">
        <v>1652494</v>
      </c>
      <c r="FQ8" s="48" t="s">
        <v>218</v>
      </c>
      <c r="FR8" s="53">
        <v>140.13999999999999</v>
      </c>
      <c r="FS8" s="53">
        <v>459.89000000000004</v>
      </c>
      <c r="FT8" s="53">
        <v>9.870000000000001</v>
      </c>
      <c r="FU8" s="48" t="s">
        <v>213</v>
      </c>
      <c r="FV8" s="50">
        <v>77256</v>
      </c>
      <c r="FW8" s="50">
        <v>41874</v>
      </c>
      <c r="FX8" s="51">
        <f t="shared" ref="FX8:FX37" si="11">FV8+FW8</f>
        <v>119130</v>
      </c>
      <c r="FY8" s="50">
        <v>52511</v>
      </c>
      <c r="FZ8" s="51">
        <f t="shared" ref="FZ8:FZ37" si="12">FX8+FY8</f>
        <v>171641</v>
      </c>
      <c r="GA8" s="48" t="s">
        <v>213</v>
      </c>
      <c r="GB8" s="49">
        <v>24770</v>
      </c>
      <c r="GC8" s="53">
        <v>97595</v>
      </c>
      <c r="GD8" s="49">
        <v>27781</v>
      </c>
      <c r="GE8" s="49">
        <v>116629.71</v>
      </c>
      <c r="GF8" s="54">
        <f t="shared" ref="GF8:GG36" si="13">GD8/GB8*100</f>
        <v>112.1558336697618</v>
      </c>
      <c r="GG8" s="54">
        <f t="shared" si="13"/>
        <v>119.5037758081869</v>
      </c>
      <c r="GH8" s="48" t="s">
        <v>219</v>
      </c>
    </row>
    <row r="9" spans="1:190" ht="21.6" x14ac:dyDescent="0.3">
      <c r="A9" s="48">
        <v>3</v>
      </c>
      <c r="B9" s="48">
        <v>2026</v>
      </c>
      <c r="C9" s="49" t="s">
        <v>221</v>
      </c>
      <c r="D9" s="50">
        <v>5837</v>
      </c>
      <c r="E9" s="49">
        <v>2</v>
      </c>
      <c r="F9" s="49">
        <v>12</v>
      </c>
      <c r="G9" s="49">
        <v>12</v>
      </c>
      <c r="H9" s="49">
        <v>0</v>
      </c>
      <c r="I9" s="49">
        <v>1</v>
      </c>
      <c r="J9" s="49">
        <v>4</v>
      </c>
      <c r="K9" s="49">
        <v>18</v>
      </c>
      <c r="L9" s="49">
        <v>253</v>
      </c>
      <c r="M9" s="49">
        <v>12</v>
      </c>
      <c r="N9" s="49">
        <v>5</v>
      </c>
      <c r="O9" s="50">
        <v>1179</v>
      </c>
      <c r="P9" s="50">
        <v>27</v>
      </c>
      <c r="Q9" s="51">
        <f t="shared" ref="Q9:Q37" si="14">O9+P9</f>
        <v>1206</v>
      </c>
      <c r="R9" s="52" t="s">
        <v>210</v>
      </c>
      <c r="S9" s="53">
        <v>90.08</v>
      </c>
      <c r="T9" s="53">
        <v>76.27</v>
      </c>
      <c r="U9" s="54">
        <f t="shared" si="1"/>
        <v>166.35</v>
      </c>
      <c r="V9" s="53">
        <v>31</v>
      </c>
      <c r="W9" s="53">
        <v>12.75</v>
      </c>
      <c r="X9" s="54">
        <f t="shared" si="2"/>
        <v>43.75</v>
      </c>
      <c r="Y9" s="53">
        <v>27.83</v>
      </c>
      <c r="Z9" s="53">
        <v>2.4</v>
      </c>
      <c r="AA9" s="54">
        <f t="shared" si="3"/>
        <v>30.229999999999997</v>
      </c>
      <c r="AB9" s="53">
        <v>88.35</v>
      </c>
      <c r="AC9" s="53">
        <v>84.17</v>
      </c>
      <c r="AD9" s="54">
        <f t="shared" si="4"/>
        <v>172.51999999999998</v>
      </c>
      <c r="AE9" s="55">
        <v>14.21</v>
      </c>
      <c r="AF9" s="55">
        <v>5.77</v>
      </c>
      <c r="AG9" s="54">
        <f t="shared" si="5"/>
        <v>19.98</v>
      </c>
      <c r="AH9" s="54">
        <f t="shared" si="6"/>
        <v>251.47</v>
      </c>
      <c r="AI9" s="54">
        <f t="shared" si="6"/>
        <v>181.36</v>
      </c>
      <c r="AJ9" s="54">
        <f t="shared" si="6"/>
        <v>432.83</v>
      </c>
      <c r="AK9" s="48" t="s">
        <v>211</v>
      </c>
      <c r="AL9" s="56">
        <v>1270.3</v>
      </c>
      <c r="AM9" s="56">
        <v>1237.0466666666666</v>
      </c>
      <c r="AN9" s="57">
        <f t="shared" si="7"/>
        <v>-33.25333333333333</v>
      </c>
      <c r="AO9" s="58" t="s">
        <v>212</v>
      </c>
      <c r="AP9" s="50">
        <v>8385</v>
      </c>
      <c r="AQ9" s="56">
        <v>51722.604220000001</v>
      </c>
      <c r="AR9" s="50">
        <v>48903</v>
      </c>
      <c r="AS9" s="52" t="s">
        <v>213</v>
      </c>
      <c r="AT9" s="50">
        <v>11104</v>
      </c>
      <c r="AU9" s="56">
        <v>199</v>
      </c>
      <c r="AV9" s="56">
        <v>26.02</v>
      </c>
      <c r="AW9" s="50">
        <v>24876</v>
      </c>
      <c r="AX9" s="52" t="s">
        <v>213</v>
      </c>
      <c r="AY9" s="50">
        <v>320</v>
      </c>
      <c r="AZ9" s="56">
        <v>204.5</v>
      </c>
      <c r="BA9" s="50">
        <v>386</v>
      </c>
      <c r="BB9" s="52" t="s">
        <v>213</v>
      </c>
      <c r="BC9" s="50">
        <v>749</v>
      </c>
      <c r="BD9" s="50">
        <v>732</v>
      </c>
      <c r="BE9" s="51">
        <f t="shared" si="8"/>
        <v>1481</v>
      </c>
      <c r="BF9" s="50">
        <v>1331</v>
      </c>
      <c r="BG9" s="50">
        <v>150</v>
      </c>
      <c r="BH9" s="48" t="s">
        <v>210</v>
      </c>
      <c r="BI9" s="57">
        <f t="shared" si="9"/>
        <v>89.871708305199192</v>
      </c>
      <c r="BJ9" s="57">
        <f t="shared" si="9"/>
        <v>10.12829169480081</v>
      </c>
      <c r="BK9" s="57">
        <f t="shared" si="0"/>
        <v>50.573936529372041</v>
      </c>
      <c r="BL9" s="57">
        <f t="shared" si="0"/>
        <v>49.426063470627959</v>
      </c>
      <c r="BM9" s="50">
        <v>979</v>
      </c>
      <c r="BN9" s="50">
        <v>961</v>
      </c>
      <c r="BO9" s="50">
        <v>977</v>
      </c>
      <c r="BP9" s="48" t="s">
        <v>210</v>
      </c>
      <c r="BQ9" s="56">
        <v>7.1</v>
      </c>
      <c r="BR9" s="56">
        <v>45</v>
      </c>
      <c r="BS9" s="56">
        <v>10</v>
      </c>
      <c r="BT9" s="48" t="s">
        <v>214</v>
      </c>
      <c r="BU9" s="50">
        <v>231</v>
      </c>
      <c r="BV9" s="50">
        <v>254</v>
      </c>
      <c r="BW9" s="56">
        <v>3.5289638987437479</v>
      </c>
      <c r="BX9" s="50">
        <v>83</v>
      </c>
      <c r="BY9" s="50">
        <v>80</v>
      </c>
      <c r="BZ9" s="50">
        <v>163</v>
      </c>
      <c r="CA9" s="48" t="s">
        <v>210</v>
      </c>
      <c r="CB9" s="50">
        <v>831</v>
      </c>
      <c r="CC9" s="50">
        <v>821</v>
      </c>
      <c r="CD9" s="51">
        <f t="shared" si="10"/>
        <v>1652</v>
      </c>
      <c r="CE9" s="52" t="s">
        <v>215</v>
      </c>
      <c r="CF9" s="56">
        <v>1876.94</v>
      </c>
      <c r="CG9" s="56">
        <v>0.09</v>
      </c>
      <c r="CH9" s="56">
        <v>15.6</v>
      </c>
      <c r="CI9" s="56">
        <v>3.35</v>
      </c>
      <c r="CJ9" s="56">
        <v>33.08</v>
      </c>
      <c r="CK9" s="56">
        <v>7.04</v>
      </c>
      <c r="CL9" s="59">
        <v>1.31</v>
      </c>
      <c r="CM9" s="56">
        <v>0.91</v>
      </c>
      <c r="CN9" s="59">
        <v>46.42</v>
      </c>
      <c r="CO9" s="59">
        <v>5.65</v>
      </c>
      <c r="CP9" s="59">
        <v>0</v>
      </c>
      <c r="CQ9" s="55">
        <v>15.46</v>
      </c>
      <c r="CR9" s="55">
        <v>5.73</v>
      </c>
      <c r="CS9" s="60" t="s">
        <v>216</v>
      </c>
      <c r="CT9" s="50">
        <v>133</v>
      </c>
      <c r="CU9" s="50">
        <v>5</v>
      </c>
      <c r="CV9" s="50">
        <v>20</v>
      </c>
      <c r="CW9" s="50">
        <v>15</v>
      </c>
      <c r="CX9" s="50">
        <v>39</v>
      </c>
      <c r="CY9" s="50">
        <v>17</v>
      </c>
      <c r="CZ9" s="50">
        <v>4</v>
      </c>
      <c r="DA9" s="50">
        <v>6</v>
      </c>
      <c r="DB9" s="50">
        <v>345</v>
      </c>
      <c r="DC9" s="60" t="s">
        <v>216</v>
      </c>
      <c r="DD9" s="56">
        <v>47.26</v>
      </c>
      <c r="DE9" s="56">
        <v>22.12</v>
      </c>
      <c r="DF9" s="56">
        <v>4.54</v>
      </c>
      <c r="DG9" s="56">
        <v>187.52</v>
      </c>
      <c r="DH9" s="56">
        <v>144.05000000000001</v>
      </c>
      <c r="DI9" s="60" t="s">
        <v>216</v>
      </c>
      <c r="DJ9" s="56">
        <v>131.51</v>
      </c>
      <c r="DK9" s="56">
        <v>176.84</v>
      </c>
      <c r="DL9" s="56">
        <v>44.084000000000003</v>
      </c>
      <c r="DM9" s="56">
        <v>592.44799999999998</v>
      </c>
      <c r="DN9" s="56">
        <v>3776.971</v>
      </c>
      <c r="DO9" s="56" t="s">
        <v>217</v>
      </c>
      <c r="DP9" s="56" t="s">
        <v>217</v>
      </c>
      <c r="DQ9" s="56" t="s">
        <v>217</v>
      </c>
      <c r="DR9" s="56" t="s">
        <v>217</v>
      </c>
      <c r="DS9" s="56">
        <v>229.06</v>
      </c>
      <c r="DT9" s="48" t="s">
        <v>213</v>
      </c>
      <c r="DU9" s="56">
        <v>45</v>
      </c>
      <c r="DV9" s="49">
        <v>4</v>
      </c>
      <c r="DW9" s="48" t="s">
        <v>213</v>
      </c>
      <c r="DX9" s="49">
        <v>732</v>
      </c>
      <c r="DY9" s="49">
        <v>99095</v>
      </c>
      <c r="DZ9" s="49">
        <v>18</v>
      </c>
      <c r="EA9" s="49">
        <v>723</v>
      </c>
      <c r="EB9" s="49">
        <v>64569</v>
      </c>
      <c r="EC9" s="49">
        <v>15</v>
      </c>
      <c r="ED9" s="49">
        <v>334</v>
      </c>
      <c r="EE9" s="49">
        <v>41242</v>
      </c>
      <c r="EF9" s="49">
        <v>15</v>
      </c>
      <c r="EG9" s="49">
        <v>99</v>
      </c>
      <c r="EH9" s="49">
        <v>30463</v>
      </c>
      <c r="EI9" s="49">
        <v>37</v>
      </c>
      <c r="EJ9" s="50">
        <v>85</v>
      </c>
      <c r="EK9" s="50">
        <v>37</v>
      </c>
      <c r="EL9" s="56">
        <v>83.7</v>
      </c>
      <c r="EM9" s="56">
        <v>65.400000000000006</v>
      </c>
      <c r="EN9" s="56">
        <v>74.599999999999994</v>
      </c>
      <c r="EO9" s="48" t="s">
        <v>213</v>
      </c>
      <c r="EP9" s="48" t="s">
        <v>210</v>
      </c>
      <c r="EQ9" s="50">
        <v>1</v>
      </c>
      <c r="ER9" s="50">
        <v>0</v>
      </c>
      <c r="ES9" s="50">
        <v>1</v>
      </c>
      <c r="ET9" s="50">
        <v>17</v>
      </c>
      <c r="EU9" s="50">
        <v>49</v>
      </c>
      <c r="EV9" s="50">
        <v>204</v>
      </c>
      <c r="EW9" s="50">
        <v>5</v>
      </c>
      <c r="EX9" s="50">
        <v>330</v>
      </c>
      <c r="EY9" s="50">
        <v>23</v>
      </c>
      <c r="EZ9" s="50">
        <v>17</v>
      </c>
      <c r="FA9" s="61">
        <v>45352</v>
      </c>
      <c r="FB9" s="50">
        <v>281</v>
      </c>
      <c r="FC9" s="50">
        <v>1179</v>
      </c>
      <c r="FD9" s="50">
        <v>299</v>
      </c>
      <c r="FE9" s="56">
        <v>21367.782676459625</v>
      </c>
      <c r="FF9" s="56">
        <v>13651.0300781151</v>
      </c>
      <c r="FG9" s="61">
        <v>45717</v>
      </c>
      <c r="FH9" s="50">
        <v>19</v>
      </c>
      <c r="FI9" s="49">
        <v>128</v>
      </c>
      <c r="FJ9" s="48" t="s">
        <v>213</v>
      </c>
      <c r="FK9" s="49">
        <v>244755</v>
      </c>
      <c r="FL9" s="49">
        <v>4825</v>
      </c>
      <c r="FM9" s="49">
        <v>62884</v>
      </c>
      <c r="FN9" s="49">
        <v>175820</v>
      </c>
      <c r="FO9" s="49">
        <v>1947</v>
      </c>
      <c r="FP9" s="49">
        <v>593170</v>
      </c>
      <c r="FQ9" s="48" t="s">
        <v>218</v>
      </c>
      <c r="FR9" s="53">
        <v>102.72999999999999</v>
      </c>
      <c r="FS9" s="53">
        <v>1626.3999999999999</v>
      </c>
      <c r="FT9" s="53">
        <v>7.9899999999999993</v>
      </c>
      <c r="FU9" s="48" t="s">
        <v>213</v>
      </c>
      <c r="FV9" s="50">
        <v>46318</v>
      </c>
      <c r="FW9" s="50">
        <v>0</v>
      </c>
      <c r="FX9" s="51">
        <f t="shared" si="11"/>
        <v>46318</v>
      </c>
      <c r="FY9" s="50">
        <v>0</v>
      </c>
      <c r="FZ9" s="51">
        <f t="shared" si="12"/>
        <v>46318</v>
      </c>
      <c r="GA9" s="48" t="s">
        <v>213</v>
      </c>
      <c r="GB9" s="49">
        <v>11750</v>
      </c>
      <c r="GC9" s="53">
        <v>40600</v>
      </c>
      <c r="GD9" s="49">
        <v>11767</v>
      </c>
      <c r="GE9" s="49">
        <v>41911.57</v>
      </c>
      <c r="GF9" s="54">
        <f t="shared" si="13"/>
        <v>100.14468085106382</v>
      </c>
      <c r="GG9" s="54">
        <f t="shared" si="13"/>
        <v>103.23046798029556</v>
      </c>
      <c r="GH9" s="48" t="s">
        <v>219</v>
      </c>
    </row>
    <row r="10" spans="1:190" ht="21.6" x14ac:dyDescent="0.3">
      <c r="A10" s="48">
        <v>4</v>
      </c>
      <c r="B10" s="48">
        <v>2026</v>
      </c>
      <c r="C10" s="49" t="s">
        <v>222</v>
      </c>
      <c r="D10" s="50">
        <v>2505</v>
      </c>
      <c r="E10" s="49">
        <v>1</v>
      </c>
      <c r="F10" s="49">
        <v>7</v>
      </c>
      <c r="G10" s="49">
        <v>7</v>
      </c>
      <c r="H10" s="49">
        <v>0</v>
      </c>
      <c r="I10" s="49">
        <v>2</v>
      </c>
      <c r="J10" s="49">
        <v>2</v>
      </c>
      <c r="K10" s="49">
        <v>20</v>
      </c>
      <c r="L10" s="49">
        <v>218</v>
      </c>
      <c r="M10" s="49">
        <v>9</v>
      </c>
      <c r="N10" s="49">
        <v>5</v>
      </c>
      <c r="O10" s="50">
        <v>1250</v>
      </c>
      <c r="P10" s="50">
        <v>62</v>
      </c>
      <c r="Q10" s="51">
        <f t="shared" si="14"/>
        <v>1312</v>
      </c>
      <c r="R10" s="52" t="s">
        <v>210</v>
      </c>
      <c r="S10" s="53">
        <v>66.150000000000006</v>
      </c>
      <c r="T10" s="53">
        <v>9.4499999999999993</v>
      </c>
      <c r="U10" s="54">
        <f t="shared" si="1"/>
        <v>75.600000000000009</v>
      </c>
      <c r="V10" s="53">
        <v>2.14</v>
      </c>
      <c r="W10" s="53">
        <v>0</v>
      </c>
      <c r="X10" s="54">
        <f t="shared" si="2"/>
        <v>2.14</v>
      </c>
      <c r="Y10" s="53">
        <v>1.66</v>
      </c>
      <c r="Z10" s="53">
        <v>0.16</v>
      </c>
      <c r="AA10" s="54">
        <f t="shared" si="3"/>
        <v>1.8199999999999998</v>
      </c>
      <c r="AB10" s="53">
        <v>21.89</v>
      </c>
      <c r="AC10" s="53">
        <v>17.990000000000002</v>
      </c>
      <c r="AD10" s="54">
        <f t="shared" si="4"/>
        <v>39.880000000000003</v>
      </c>
      <c r="AE10" s="55">
        <v>24.85</v>
      </c>
      <c r="AF10" s="55">
        <v>5.62</v>
      </c>
      <c r="AG10" s="54">
        <f t="shared" si="5"/>
        <v>30.470000000000002</v>
      </c>
      <c r="AH10" s="54">
        <f t="shared" si="6"/>
        <v>116.69</v>
      </c>
      <c r="AI10" s="54">
        <f t="shared" si="6"/>
        <v>33.22</v>
      </c>
      <c r="AJ10" s="54">
        <f t="shared" si="6"/>
        <v>149.91</v>
      </c>
      <c r="AK10" s="48" t="s">
        <v>211</v>
      </c>
      <c r="AL10" s="56">
        <v>1492.3</v>
      </c>
      <c r="AM10" s="56">
        <v>1254.2285714285715</v>
      </c>
      <c r="AN10" s="57">
        <f t="shared" si="7"/>
        <v>-238.07142857142844</v>
      </c>
      <c r="AO10" s="58" t="s">
        <v>212</v>
      </c>
      <c r="AP10" s="50">
        <v>18787</v>
      </c>
      <c r="AQ10" s="56">
        <v>25178.264650000001</v>
      </c>
      <c r="AR10" s="50">
        <v>48903</v>
      </c>
      <c r="AS10" s="52" t="s">
        <v>213</v>
      </c>
      <c r="AT10" s="50">
        <v>189</v>
      </c>
      <c r="AU10" s="56">
        <v>143.09</v>
      </c>
      <c r="AV10" s="56">
        <v>1.26</v>
      </c>
      <c r="AW10" s="50">
        <v>384</v>
      </c>
      <c r="AX10" s="52" t="s">
        <v>213</v>
      </c>
      <c r="AY10" s="50">
        <v>332</v>
      </c>
      <c r="AZ10" s="56">
        <v>144.65</v>
      </c>
      <c r="BA10" s="50">
        <v>332</v>
      </c>
      <c r="BB10" s="52" t="s">
        <v>213</v>
      </c>
      <c r="BC10" s="50">
        <v>760</v>
      </c>
      <c r="BD10" s="50">
        <v>746</v>
      </c>
      <c r="BE10" s="51">
        <f t="shared" si="8"/>
        <v>1506</v>
      </c>
      <c r="BF10" s="50">
        <v>1320</v>
      </c>
      <c r="BG10" s="50">
        <v>186</v>
      </c>
      <c r="BH10" s="48" t="s">
        <v>210</v>
      </c>
      <c r="BI10" s="57">
        <f t="shared" si="9"/>
        <v>87.64940239043824</v>
      </c>
      <c r="BJ10" s="57">
        <f t="shared" si="9"/>
        <v>12.350597609561753</v>
      </c>
      <c r="BK10" s="57">
        <f t="shared" si="0"/>
        <v>50.464807436918989</v>
      </c>
      <c r="BL10" s="57">
        <f t="shared" si="0"/>
        <v>49.535192563081011</v>
      </c>
      <c r="BM10" s="50">
        <v>985</v>
      </c>
      <c r="BN10" s="50">
        <v>956</v>
      </c>
      <c r="BO10" s="50">
        <v>981</v>
      </c>
      <c r="BP10" s="48" t="s">
        <v>210</v>
      </c>
      <c r="BQ10" s="56">
        <v>10.7</v>
      </c>
      <c r="BR10" s="56">
        <v>31.7</v>
      </c>
      <c r="BS10" s="56">
        <v>12.9</v>
      </c>
      <c r="BT10" s="48" t="s">
        <v>214</v>
      </c>
      <c r="BU10" s="50">
        <v>532</v>
      </c>
      <c r="BV10" s="50">
        <v>601</v>
      </c>
      <c r="BW10" s="56">
        <v>3.5887196278439304</v>
      </c>
      <c r="BX10" s="50">
        <v>95</v>
      </c>
      <c r="BY10" s="50">
        <v>90</v>
      </c>
      <c r="BZ10" s="50">
        <v>185</v>
      </c>
      <c r="CA10" s="48" t="s">
        <v>210</v>
      </c>
      <c r="CB10" s="50">
        <v>852</v>
      </c>
      <c r="CC10" s="50">
        <v>843</v>
      </c>
      <c r="CD10" s="51">
        <f t="shared" si="10"/>
        <v>1695</v>
      </c>
      <c r="CE10" s="52" t="s">
        <v>215</v>
      </c>
      <c r="CF10" s="56">
        <v>658.02</v>
      </c>
      <c r="CG10" s="56">
        <v>0.02</v>
      </c>
      <c r="CH10" s="56">
        <v>1.05</v>
      </c>
      <c r="CI10" s="56">
        <v>0.26</v>
      </c>
      <c r="CJ10" s="56">
        <v>17.559999999999999</v>
      </c>
      <c r="CK10" s="56">
        <v>3.16</v>
      </c>
      <c r="CL10" s="56">
        <v>0.05</v>
      </c>
      <c r="CM10" s="56">
        <v>0.31</v>
      </c>
      <c r="CN10" s="59">
        <v>0.15</v>
      </c>
      <c r="CO10" s="59">
        <v>1.1599999999999999</v>
      </c>
      <c r="CP10" s="59">
        <v>5.74</v>
      </c>
      <c r="CQ10" s="55">
        <v>15.2</v>
      </c>
      <c r="CR10" s="55">
        <v>24.7</v>
      </c>
      <c r="CS10" s="60" t="s">
        <v>216</v>
      </c>
      <c r="CT10" s="50">
        <v>10</v>
      </c>
      <c r="CU10" s="50">
        <v>3</v>
      </c>
      <c r="CV10" s="50">
        <v>11</v>
      </c>
      <c r="CW10" s="50">
        <v>11</v>
      </c>
      <c r="CX10" s="50">
        <v>33</v>
      </c>
      <c r="CY10" s="50">
        <v>1</v>
      </c>
      <c r="CZ10" s="50">
        <v>27</v>
      </c>
      <c r="DA10" s="50">
        <v>5</v>
      </c>
      <c r="DB10" s="50">
        <v>149</v>
      </c>
      <c r="DC10" s="60" t="s">
        <v>216</v>
      </c>
      <c r="DD10" s="56">
        <v>15.64</v>
      </c>
      <c r="DE10" s="56">
        <v>9.7200000000000006</v>
      </c>
      <c r="DF10" s="56">
        <v>2.14</v>
      </c>
      <c r="DG10" s="56">
        <v>42.2</v>
      </c>
      <c r="DH10" s="56">
        <v>143.31</v>
      </c>
      <c r="DI10" s="60" t="s">
        <v>216</v>
      </c>
      <c r="DJ10" s="56">
        <v>74.44</v>
      </c>
      <c r="DK10" s="56">
        <v>165.87299999999999</v>
      </c>
      <c r="DL10" s="56">
        <v>66.337000000000003</v>
      </c>
      <c r="DM10" s="56">
        <v>484.32900000000001</v>
      </c>
      <c r="DN10" s="56">
        <v>3286.4870000000001</v>
      </c>
      <c r="DO10" s="56" t="s">
        <v>217</v>
      </c>
      <c r="DP10" s="56" t="s">
        <v>217</v>
      </c>
      <c r="DQ10" s="56" t="s">
        <v>217</v>
      </c>
      <c r="DR10" s="56" t="s">
        <v>217</v>
      </c>
      <c r="DS10" s="56">
        <v>0</v>
      </c>
      <c r="DT10" s="48" t="s">
        <v>213</v>
      </c>
      <c r="DU10" s="56">
        <v>95</v>
      </c>
      <c r="DV10" s="49">
        <v>11</v>
      </c>
      <c r="DW10" s="48" t="s">
        <v>213</v>
      </c>
      <c r="DX10" s="49">
        <v>887</v>
      </c>
      <c r="DY10" s="49">
        <v>116733</v>
      </c>
      <c r="DZ10" s="49">
        <v>19</v>
      </c>
      <c r="EA10" s="49">
        <v>751</v>
      </c>
      <c r="EB10" s="49">
        <v>76500</v>
      </c>
      <c r="EC10" s="49">
        <v>15</v>
      </c>
      <c r="ED10" s="49">
        <v>342</v>
      </c>
      <c r="EE10" s="49">
        <v>48184</v>
      </c>
      <c r="EF10" s="49">
        <v>19</v>
      </c>
      <c r="EG10" s="49">
        <v>97</v>
      </c>
      <c r="EH10" s="49">
        <v>28930</v>
      </c>
      <c r="EI10" s="49">
        <v>41</v>
      </c>
      <c r="EJ10" s="50">
        <v>95</v>
      </c>
      <c r="EK10" s="50">
        <v>39</v>
      </c>
      <c r="EL10" s="56">
        <v>89.6</v>
      </c>
      <c r="EM10" s="56">
        <v>75.8</v>
      </c>
      <c r="EN10" s="56">
        <v>82.8</v>
      </c>
      <c r="EO10" s="48" t="s">
        <v>213</v>
      </c>
      <c r="EP10" s="48" t="s">
        <v>210</v>
      </c>
      <c r="EQ10" s="50">
        <v>1</v>
      </c>
      <c r="ER10" s="50">
        <v>0</v>
      </c>
      <c r="ES10" s="50">
        <v>1</v>
      </c>
      <c r="ET10" s="50">
        <v>7</v>
      </c>
      <c r="EU10" s="50">
        <v>55</v>
      </c>
      <c r="EV10" s="50">
        <v>178</v>
      </c>
      <c r="EW10" s="50">
        <v>1</v>
      </c>
      <c r="EX10" s="50">
        <v>414</v>
      </c>
      <c r="EY10" s="50">
        <v>23</v>
      </c>
      <c r="EZ10" s="50">
        <v>25</v>
      </c>
      <c r="FA10" s="61">
        <v>45352</v>
      </c>
      <c r="FB10" s="50">
        <v>311</v>
      </c>
      <c r="FC10" s="50">
        <v>1250</v>
      </c>
      <c r="FD10" s="50">
        <v>207</v>
      </c>
      <c r="FE10" s="56">
        <v>9809.015707647839</v>
      </c>
      <c r="FF10" s="56">
        <v>8247.8607830985966</v>
      </c>
      <c r="FG10" s="61">
        <v>45717</v>
      </c>
      <c r="FH10" s="50">
        <v>13</v>
      </c>
      <c r="FI10" s="49">
        <v>110</v>
      </c>
      <c r="FJ10" s="48" t="s">
        <v>213</v>
      </c>
      <c r="FK10" s="49">
        <v>452147</v>
      </c>
      <c r="FL10" s="49">
        <v>3489</v>
      </c>
      <c r="FM10" s="49">
        <v>842</v>
      </c>
      <c r="FN10" s="49">
        <v>107591</v>
      </c>
      <c r="FO10" s="49">
        <v>270</v>
      </c>
      <c r="FP10" s="49">
        <v>345067</v>
      </c>
      <c r="FQ10" s="48" t="s">
        <v>218</v>
      </c>
      <c r="FR10" s="53">
        <v>124.27999999999999</v>
      </c>
      <c r="FS10" s="53">
        <v>617.70000000000005</v>
      </c>
      <c r="FT10" s="53">
        <v>7.37</v>
      </c>
      <c r="FU10" s="48" t="s">
        <v>213</v>
      </c>
      <c r="FV10" s="50">
        <v>38570</v>
      </c>
      <c r="FW10" s="50">
        <v>38860</v>
      </c>
      <c r="FX10" s="51">
        <f t="shared" si="11"/>
        <v>77430</v>
      </c>
      <c r="FY10" s="50">
        <v>25010</v>
      </c>
      <c r="FZ10" s="51">
        <f t="shared" si="12"/>
        <v>102440</v>
      </c>
      <c r="GA10" s="48" t="s">
        <v>213</v>
      </c>
      <c r="GB10" s="49">
        <v>17700</v>
      </c>
      <c r="GC10" s="53">
        <v>70865</v>
      </c>
      <c r="GD10" s="49">
        <v>17748</v>
      </c>
      <c r="GE10" s="49">
        <v>73940.740000000005</v>
      </c>
      <c r="GF10" s="54">
        <f t="shared" si="13"/>
        <v>100.27118644067797</v>
      </c>
      <c r="GG10" s="54">
        <f t="shared" si="13"/>
        <v>104.34028081563538</v>
      </c>
      <c r="GH10" s="48" t="s">
        <v>219</v>
      </c>
    </row>
    <row r="11" spans="1:190" ht="21.6" x14ac:dyDescent="0.3">
      <c r="A11" s="48">
        <v>5</v>
      </c>
      <c r="B11" s="48">
        <v>2026</v>
      </c>
      <c r="C11" s="49" t="s">
        <v>223</v>
      </c>
      <c r="D11" s="50">
        <v>6575</v>
      </c>
      <c r="E11" s="49">
        <v>3</v>
      </c>
      <c r="F11" s="49">
        <v>14</v>
      </c>
      <c r="G11" s="49">
        <v>14</v>
      </c>
      <c r="H11" s="49">
        <v>0</v>
      </c>
      <c r="I11" s="49">
        <v>2</v>
      </c>
      <c r="J11" s="49">
        <v>3</v>
      </c>
      <c r="K11" s="49">
        <v>22</v>
      </c>
      <c r="L11" s="49">
        <v>317</v>
      </c>
      <c r="M11" s="49">
        <v>14</v>
      </c>
      <c r="N11" s="49">
        <v>5</v>
      </c>
      <c r="O11" s="50">
        <v>1751</v>
      </c>
      <c r="P11" s="50">
        <v>32</v>
      </c>
      <c r="Q11" s="51">
        <f t="shared" si="14"/>
        <v>1783</v>
      </c>
      <c r="R11" s="52" t="s">
        <v>210</v>
      </c>
      <c r="S11" s="53">
        <v>11.22</v>
      </c>
      <c r="T11" s="53">
        <v>0.89</v>
      </c>
      <c r="U11" s="54">
        <f t="shared" si="1"/>
        <v>12.110000000000001</v>
      </c>
      <c r="V11" s="53">
        <v>5.63</v>
      </c>
      <c r="W11" s="53">
        <v>0</v>
      </c>
      <c r="X11" s="54">
        <f t="shared" si="2"/>
        <v>5.63</v>
      </c>
      <c r="Y11" s="53">
        <v>7.81</v>
      </c>
      <c r="Z11" s="53">
        <v>0.56000000000000005</v>
      </c>
      <c r="AA11" s="54">
        <f t="shared" si="3"/>
        <v>8.3699999999999992</v>
      </c>
      <c r="AB11" s="53">
        <v>32.880000000000003</v>
      </c>
      <c r="AC11" s="53">
        <v>22.03</v>
      </c>
      <c r="AD11" s="54">
        <f t="shared" si="4"/>
        <v>54.910000000000004</v>
      </c>
      <c r="AE11" s="55">
        <v>9.9</v>
      </c>
      <c r="AF11" s="55">
        <v>16.87</v>
      </c>
      <c r="AG11" s="54">
        <f t="shared" si="5"/>
        <v>26.770000000000003</v>
      </c>
      <c r="AH11" s="54">
        <f t="shared" si="6"/>
        <v>67.440000000000012</v>
      </c>
      <c r="AI11" s="54">
        <f t="shared" si="6"/>
        <v>40.35</v>
      </c>
      <c r="AJ11" s="54">
        <f t="shared" si="6"/>
        <v>107.79000000000002</v>
      </c>
      <c r="AK11" s="48" t="s">
        <v>211</v>
      </c>
      <c r="AL11" s="56">
        <v>1261.4000000000001</v>
      </c>
      <c r="AM11" s="56">
        <v>1092.3214285714289</v>
      </c>
      <c r="AN11" s="57">
        <f t="shared" si="7"/>
        <v>-169.07857142857119</v>
      </c>
      <c r="AO11" s="58" t="s">
        <v>212</v>
      </c>
      <c r="AP11" s="50">
        <v>11464</v>
      </c>
      <c r="AQ11" s="56">
        <v>33329.798690000003</v>
      </c>
      <c r="AR11" s="50">
        <v>87386</v>
      </c>
      <c r="AS11" s="52" t="s">
        <v>213</v>
      </c>
      <c r="AT11" s="50">
        <v>2676</v>
      </c>
      <c r="AU11" s="56">
        <v>56.5</v>
      </c>
      <c r="AV11" s="56">
        <v>3.22</v>
      </c>
      <c r="AW11" s="50">
        <v>5250</v>
      </c>
      <c r="AX11" s="52" t="s">
        <v>213</v>
      </c>
      <c r="AY11" s="50">
        <v>184</v>
      </c>
      <c r="AZ11" s="56">
        <v>65.2</v>
      </c>
      <c r="BA11" s="50">
        <v>224</v>
      </c>
      <c r="BB11" s="52" t="s">
        <v>213</v>
      </c>
      <c r="BC11" s="50">
        <v>830</v>
      </c>
      <c r="BD11" s="50">
        <v>819</v>
      </c>
      <c r="BE11" s="51">
        <f t="shared" si="8"/>
        <v>1649</v>
      </c>
      <c r="BF11" s="50">
        <v>1452</v>
      </c>
      <c r="BG11" s="50">
        <v>197</v>
      </c>
      <c r="BH11" s="48" t="s">
        <v>210</v>
      </c>
      <c r="BI11" s="57">
        <f t="shared" si="9"/>
        <v>88.053365676167374</v>
      </c>
      <c r="BJ11" s="57">
        <f t="shared" si="9"/>
        <v>11.946634323832626</v>
      </c>
      <c r="BK11" s="57">
        <f t="shared" si="0"/>
        <v>50.333535476046087</v>
      </c>
      <c r="BL11" s="57">
        <f t="shared" si="0"/>
        <v>49.666464523953913</v>
      </c>
      <c r="BM11" s="50">
        <v>992</v>
      </c>
      <c r="BN11" s="50">
        <v>948</v>
      </c>
      <c r="BO11" s="50">
        <v>987</v>
      </c>
      <c r="BP11" s="48" t="s">
        <v>210</v>
      </c>
      <c r="BQ11" s="56">
        <v>22.7</v>
      </c>
      <c r="BR11" s="56">
        <v>27.9</v>
      </c>
      <c r="BS11" s="56">
        <v>23.3</v>
      </c>
      <c r="BT11" s="48" t="s">
        <v>214</v>
      </c>
      <c r="BU11" s="50">
        <v>203</v>
      </c>
      <c r="BV11" s="50">
        <v>251</v>
      </c>
      <c r="BW11" s="56">
        <v>3.9285949293921334</v>
      </c>
      <c r="BX11" s="50">
        <v>110</v>
      </c>
      <c r="BY11" s="50">
        <v>106</v>
      </c>
      <c r="BZ11" s="50">
        <v>216</v>
      </c>
      <c r="CA11" s="48" t="s">
        <v>210</v>
      </c>
      <c r="CB11" s="50">
        <v>900</v>
      </c>
      <c r="CC11" s="50">
        <v>898</v>
      </c>
      <c r="CD11" s="51">
        <f t="shared" si="10"/>
        <v>1798</v>
      </c>
      <c r="CE11" s="52" t="s">
        <v>215</v>
      </c>
      <c r="CF11" s="56">
        <v>961.32</v>
      </c>
      <c r="CG11" s="56">
        <v>0</v>
      </c>
      <c r="CH11" s="56">
        <v>29.4</v>
      </c>
      <c r="CI11" s="56">
        <v>8.09</v>
      </c>
      <c r="CJ11" s="56">
        <v>52.29</v>
      </c>
      <c r="CK11" s="56">
        <v>9.52</v>
      </c>
      <c r="CL11" s="56">
        <v>13.99</v>
      </c>
      <c r="CM11" s="56">
        <v>1.47</v>
      </c>
      <c r="CN11" s="59">
        <v>25.81</v>
      </c>
      <c r="CO11" s="59">
        <v>1.65</v>
      </c>
      <c r="CP11" s="59">
        <v>0</v>
      </c>
      <c r="CQ11" s="55">
        <v>11.13</v>
      </c>
      <c r="CR11" s="55">
        <v>6.89</v>
      </c>
      <c r="CS11" s="60" t="s">
        <v>216</v>
      </c>
      <c r="CT11" s="50">
        <v>161</v>
      </c>
      <c r="CU11" s="50">
        <v>4</v>
      </c>
      <c r="CV11" s="50">
        <v>46</v>
      </c>
      <c r="CW11" s="50">
        <v>18</v>
      </c>
      <c r="CX11" s="50">
        <v>46</v>
      </c>
      <c r="CY11" s="50">
        <v>23</v>
      </c>
      <c r="CZ11" s="50">
        <v>4</v>
      </c>
      <c r="DA11" s="50">
        <v>13</v>
      </c>
      <c r="DB11" s="50">
        <v>342</v>
      </c>
      <c r="DC11" s="60" t="s">
        <v>216</v>
      </c>
      <c r="DD11" s="56">
        <v>20.54</v>
      </c>
      <c r="DE11" s="56">
        <v>9.6300000000000008</v>
      </c>
      <c r="DF11" s="56">
        <v>3.9</v>
      </c>
      <c r="DG11" s="56">
        <v>126.21</v>
      </c>
      <c r="DH11" s="56">
        <v>72.290000000000006</v>
      </c>
      <c r="DI11" s="60" t="s">
        <v>216</v>
      </c>
      <c r="DJ11" s="56">
        <v>173.82</v>
      </c>
      <c r="DK11" s="56">
        <v>133.91800000000001</v>
      </c>
      <c r="DL11" s="56">
        <v>124.587</v>
      </c>
      <c r="DM11" s="56">
        <v>923.476</v>
      </c>
      <c r="DN11" s="56">
        <v>4285.3609999999999</v>
      </c>
      <c r="DO11" s="56" t="s">
        <v>217</v>
      </c>
      <c r="DP11" s="56" t="s">
        <v>217</v>
      </c>
      <c r="DQ11" s="56" t="s">
        <v>217</v>
      </c>
      <c r="DR11" s="56" t="s">
        <v>217</v>
      </c>
      <c r="DS11" s="56">
        <v>252.92</v>
      </c>
      <c r="DT11" s="48" t="s">
        <v>213</v>
      </c>
      <c r="DU11" s="56">
        <v>199</v>
      </c>
      <c r="DV11" s="49">
        <v>14</v>
      </c>
      <c r="DW11" s="48" t="s">
        <v>213</v>
      </c>
      <c r="DX11" s="49">
        <v>1079</v>
      </c>
      <c r="DY11" s="49">
        <v>134961</v>
      </c>
      <c r="DZ11" s="49">
        <v>18</v>
      </c>
      <c r="EA11" s="49">
        <v>906</v>
      </c>
      <c r="EB11" s="49">
        <v>85163</v>
      </c>
      <c r="EC11" s="49">
        <v>16</v>
      </c>
      <c r="ED11" s="49">
        <v>381</v>
      </c>
      <c r="EE11" s="49">
        <v>53210</v>
      </c>
      <c r="EF11" s="49">
        <v>17</v>
      </c>
      <c r="EG11" s="49">
        <v>128</v>
      </c>
      <c r="EH11" s="49">
        <v>37968</v>
      </c>
      <c r="EI11" s="49">
        <v>41</v>
      </c>
      <c r="EJ11" s="50">
        <v>122</v>
      </c>
      <c r="EK11" s="50">
        <v>38</v>
      </c>
      <c r="EL11" s="56">
        <v>75.8</v>
      </c>
      <c r="EM11" s="56">
        <v>53.5</v>
      </c>
      <c r="EN11" s="56">
        <v>64.7</v>
      </c>
      <c r="EO11" s="48" t="s">
        <v>213</v>
      </c>
      <c r="EP11" s="48" t="s">
        <v>210</v>
      </c>
      <c r="EQ11" s="50">
        <v>1</v>
      </c>
      <c r="ER11" s="50">
        <v>1</v>
      </c>
      <c r="ES11" s="50">
        <v>1</v>
      </c>
      <c r="ET11" s="50">
        <v>15</v>
      </c>
      <c r="EU11" s="50">
        <v>48</v>
      </c>
      <c r="EV11" s="50">
        <v>226</v>
      </c>
      <c r="EW11" s="50">
        <v>15</v>
      </c>
      <c r="EX11" s="50">
        <v>538</v>
      </c>
      <c r="EY11" s="50">
        <v>34</v>
      </c>
      <c r="EZ11" s="50">
        <v>18</v>
      </c>
      <c r="FA11" s="61">
        <v>45352</v>
      </c>
      <c r="FB11" s="50">
        <v>338</v>
      </c>
      <c r="FC11" s="50">
        <v>1751</v>
      </c>
      <c r="FD11" s="50">
        <v>173</v>
      </c>
      <c r="FE11" s="56">
        <v>10586.832753378341</v>
      </c>
      <c r="FF11" s="56">
        <v>7345.905505658171</v>
      </c>
      <c r="FG11" s="61">
        <v>45717</v>
      </c>
      <c r="FH11" s="50">
        <v>21</v>
      </c>
      <c r="FI11" s="49">
        <v>129</v>
      </c>
      <c r="FJ11" s="48" t="s">
        <v>213</v>
      </c>
      <c r="FK11" s="49">
        <v>312205</v>
      </c>
      <c r="FL11" s="49">
        <v>20760</v>
      </c>
      <c r="FM11" s="49">
        <v>92209</v>
      </c>
      <c r="FN11" s="49">
        <v>313982</v>
      </c>
      <c r="FO11" s="49">
        <v>1475</v>
      </c>
      <c r="FP11" s="49">
        <v>2147654</v>
      </c>
      <c r="FQ11" s="48" t="s">
        <v>218</v>
      </c>
      <c r="FR11" s="53">
        <v>72.58</v>
      </c>
      <c r="FS11" s="53">
        <v>5923.41</v>
      </c>
      <c r="FT11" s="53">
        <v>7.49</v>
      </c>
      <c r="FU11" s="48" t="s">
        <v>213</v>
      </c>
      <c r="FV11" s="50">
        <v>15004</v>
      </c>
      <c r="FW11" s="50">
        <v>0</v>
      </c>
      <c r="FX11" s="51">
        <f t="shared" si="11"/>
        <v>15004</v>
      </c>
      <c r="FY11" s="50">
        <v>0</v>
      </c>
      <c r="FZ11" s="51">
        <f t="shared" si="12"/>
        <v>15004</v>
      </c>
      <c r="GA11" s="48" t="s">
        <v>213</v>
      </c>
      <c r="GB11" s="49">
        <v>12050</v>
      </c>
      <c r="GC11" s="53">
        <v>35600</v>
      </c>
      <c r="GD11" s="49">
        <v>12606</v>
      </c>
      <c r="GE11" s="49">
        <v>38271.699999999997</v>
      </c>
      <c r="GF11" s="54">
        <f t="shared" si="13"/>
        <v>104.61410788381743</v>
      </c>
      <c r="GG11" s="54">
        <f t="shared" si="13"/>
        <v>107.50477528089888</v>
      </c>
      <c r="GH11" s="48" t="s">
        <v>219</v>
      </c>
    </row>
    <row r="12" spans="1:190" ht="21.6" x14ac:dyDescent="0.3">
      <c r="A12" s="48">
        <v>6</v>
      </c>
      <c r="B12" s="48">
        <v>2026</v>
      </c>
      <c r="C12" s="49" t="s">
        <v>224</v>
      </c>
      <c r="D12" s="50">
        <v>3098</v>
      </c>
      <c r="E12" s="49">
        <v>1</v>
      </c>
      <c r="F12" s="49">
        <v>3</v>
      </c>
      <c r="G12" s="49">
        <v>3</v>
      </c>
      <c r="H12" s="49">
        <v>0</v>
      </c>
      <c r="I12" s="49">
        <v>0</v>
      </c>
      <c r="J12" s="49">
        <v>1</v>
      </c>
      <c r="K12" s="49">
        <v>8</v>
      </c>
      <c r="L12" s="49">
        <v>69</v>
      </c>
      <c r="M12" s="49">
        <v>4</v>
      </c>
      <c r="N12" s="49">
        <v>2</v>
      </c>
      <c r="O12" s="50">
        <v>1117</v>
      </c>
      <c r="P12" s="50">
        <v>70</v>
      </c>
      <c r="Q12" s="51">
        <f t="shared" si="14"/>
        <v>1187</v>
      </c>
      <c r="R12" s="52" t="s">
        <v>210</v>
      </c>
      <c r="S12" s="53">
        <v>14.74</v>
      </c>
      <c r="T12" s="53">
        <v>0.83</v>
      </c>
      <c r="U12" s="54">
        <f t="shared" si="1"/>
        <v>15.57</v>
      </c>
      <c r="V12" s="53">
        <v>2.95</v>
      </c>
      <c r="W12" s="53">
        <v>0.96</v>
      </c>
      <c r="X12" s="54">
        <f t="shared" si="2"/>
        <v>3.91</v>
      </c>
      <c r="Y12" s="53">
        <v>3.02</v>
      </c>
      <c r="Z12" s="53">
        <v>1.0900000000000001</v>
      </c>
      <c r="AA12" s="54">
        <f t="shared" si="3"/>
        <v>4.1100000000000003</v>
      </c>
      <c r="AB12" s="53">
        <v>2.6799999999999997</v>
      </c>
      <c r="AC12" s="53">
        <v>5.0500000000000007</v>
      </c>
      <c r="AD12" s="54">
        <f t="shared" si="4"/>
        <v>7.73</v>
      </c>
      <c r="AE12" s="55">
        <v>13.29</v>
      </c>
      <c r="AF12" s="55">
        <v>14.7</v>
      </c>
      <c r="AG12" s="54">
        <f t="shared" si="5"/>
        <v>27.99</v>
      </c>
      <c r="AH12" s="54">
        <f t="shared" si="6"/>
        <v>36.68</v>
      </c>
      <c r="AI12" s="54">
        <f t="shared" si="6"/>
        <v>22.63</v>
      </c>
      <c r="AJ12" s="54">
        <f t="shared" si="6"/>
        <v>59.31</v>
      </c>
      <c r="AK12" s="48" t="s">
        <v>211</v>
      </c>
      <c r="AL12" s="56">
        <v>1338.9</v>
      </c>
      <c r="AM12" s="56">
        <v>1409.3</v>
      </c>
      <c r="AN12" s="57">
        <f t="shared" si="7"/>
        <v>70.399999999999864</v>
      </c>
      <c r="AO12" s="58" t="s">
        <v>212</v>
      </c>
      <c r="AP12" s="50">
        <v>2228</v>
      </c>
      <c r="AQ12" s="56">
        <v>5204.6127299999998</v>
      </c>
      <c r="AR12" s="50">
        <v>16171</v>
      </c>
      <c r="AS12" s="52" t="s">
        <v>213</v>
      </c>
      <c r="AT12" s="50">
        <v>2413</v>
      </c>
      <c r="AU12" s="56">
        <v>28.05</v>
      </c>
      <c r="AV12" s="56">
        <v>2.09</v>
      </c>
      <c r="AW12" s="50">
        <v>4000</v>
      </c>
      <c r="AX12" s="52" t="s">
        <v>213</v>
      </c>
      <c r="AY12" s="50">
        <v>96</v>
      </c>
      <c r="AZ12" s="56">
        <v>29.1</v>
      </c>
      <c r="BA12" s="50">
        <v>176</v>
      </c>
      <c r="BB12" s="52" t="s">
        <v>213</v>
      </c>
      <c r="BC12" s="50">
        <v>221</v>
      </c>
      <c r="BD12" s="50">
        <v>220</v>
      </c>
      <c r="BE12" s="51">
        <f t="shared" si="8"/>
        <v>441</v>
      </c>
      <c r="BF12" s="50">
        <v>421</v>
      </c>
      <c r="BG12" s="50">
        <v>20</v>
      </c>
      <c r="BH12" s="48" t="s">
        <v>210</v>
      </c>
      <c r="BI12" s="57">
        <f t="shared" si="9"/>
        <v>95.464852607709744</v>
      </c>
      <c r="BJ12" s="57">
        <f t="shared" si="9"/>
        <v>4.5351473922902494</v>
      </c>
      <c r="BK12" s="57">
        <f t="shared" si="0"/>
        <v>50.113378684807252</v>
      </c>
      <c r="BL12" s="57">
        <f t="shared" si="0"/>
        <v>49.886621315192741</v>
      </c>
      <c r="BM12" s="50">
        <v>993</v>
      </c>
      <c r="BN12" s="50">
        <v>947</v>
      </c>
      <c r="BO12" s="50">
        <v>991</v>
      </c>
      <c r="BP12" s="48" t="s">
        <v>210</v>
      </c>
      <c r="BQ12" s="56">
        <v>18.399999999999999</v>
      </c>
      <c r="BR12" s="56">
        <v>13.3</v>
      </c>
      <c r="BS12" s="56">
        <v>18.2</v>
      </c>
      <c r="BT12" s="48" t="s">
        <v>214</v>
      </c>
      <c r="BU12" s="50">
        <v>121</v>
      </c>
      <c r="BV12" s="50">
        <v>142</v>
      </c>
      <c r="BW12" s="56">
        <v>1.0510308971092683</v>
      </c>
      <c r="BX12" s="50">
        <v>31</v>
      </c>
      <c r="BY12" s="50">
        <v>31</v>
      </c>
      <c r="BZ12" s="50">
        <v>62</v>
      </c>
      <c r="CA12" s="48" t="s">
        <v>210</v>
      </c>
      <c r="CB12" s="50">
        <v>245</v>
      </c>
      <c r="CC12" s="50">
        <v>246</v>
      </c>
      <c r="CD12" s="51">
        <f t="shared" si="10"/>
        <v>491</v>
      </c>
      <c r="CE12" s="52" t="s">
        <v>215</v>
      </c>
      <c r="CF12" s="56">
        <v>87.15</v>
      </c>
      <c r="CG12" s="56">
        <v>0</v>
      </c>
      <c r="CH12" s="56">
        <v>3.62</v>
      </c>
      <c r="CI12" s="56">
        <v>1.59</v>
      </c>
      <c r="CJ12" s="56">
        <v>19.760000000000002</v>
      </c>
      <c r="CK12" s="56">
        <v>2.61</v>
      </c>
      <c r="CL12" s="56">
        <v>3.7</v>
      </c>
      <c r="CM12" s="56">
        <v>0.59</v>
      </c>
      <c r="CN12" s="59">
        <v>2.0099999999999998</v>
      </c>
      <c r="CO12" s="59">
        <v>0.39</v>
      </c>
      <c r="CP12" s="59">
        <v>0</v>
      </c>
      <c r="CQ12" s="55">
        <v>13.75</v>
      </c>
      <c r="CR12" s="55">
        <v>0</v>
      </c>
      <c r="CS12" s="60" t="s">
        <v>216</v>
      </c>
      <c r="CT12" s="50">
        <v>128</v>
      </c>
      <c r="CU12" s="50">
        <v>19</v>
      </c>
      <c r="CV12" s="50">
        <v>17</v>
      </c>
      <c r="CW12" s="50">
        <v>20</v>
      </c>
      <c r="CX12" s="50">
        <v>21</v>
      </c>
      <c r="CY12" s="50">
        <v>12</v>
      </c>
      <c r="CZ12" s="50">
        <v>2</v>
      </c>
      <c r="DA12" s="50">
        <v>4</v>
      </c>
      <c r="DB12" s="50">
        <v>87</v>
      </c>
      <c r="DC12" s="60" t="s">
        <v>216</v>
      </c>
      <c r="DD12" s="56">
        <v>3.83</v>
      </c>
      <c r="DE12" s="56">
        <v>1.85</v>
      </c>
      <c r="DF12" s="56">
        <v>0.44</v>
      </c>
      <c r="DG12" s="56">
        <v>14.17</v>
      </c>
      <c r="DH12" s="56">
        <v>40.36</v>
      </c>
      <c r="DI12" s="60" t="s">
        <v>216</v>
      </c>
      <c r="DJ12" s="56">
        <v>117.01</v>
      </c>
      <c r="DK12" s="56">
        <v>90.69</v>
      </c>
      <c r="DL12" s="56">
        <v>0</v>
      </c>
      <c r="DM12" s="56">
        <v>378.72199999999998</v>
      </c>
      <c r="DN12" s="56">
        <v>1287.059</v>
      </c>
      <c r="DO12" s="56" t="s">
        <v>217</v>
      </c>
      <c r="DP12" s="56" t="s">
        <v>217</v>
      </c>
      <c r="DQ12" s="56" t="s">
        <v>217</v>
      </c>
      <c r="DR12" s="56" t="s">
        <v>217</v>
      </c>
      <c r="DS12" s="56">
        <v>245.2</v>
      </c>
      <c r="DT12" s="48" t="s">
        <v>213</v>
      </c>
      <c r="DU12" s="56">
        <v>54</v>
      </c>
      <c r="DV12" s="49">
        <v>5</v>
      </c>
      <c r="DW12" s="48" t="s">
        <v>213</v>
      </c>
      <c r="DX12" s="49">
        <v>350</v>
      </c>
      <c r="DY12" s="49">
        <v>34743</v>
      </c>
      <c r="DZ12" s="49">
        <v>15</v>
      </c>
      <c r="EA12" s="49">
        <v>321</v>
      </c>
      <c r="EB12" s="49">
        <v>22397</v>
      </c>
      <c r="EC12" s="49">
        <v>12</v>
      </c>
      <c r="ED12" s="49">
        <v>75</v>
      </c>
      <c r="EE12" s="49">
        <v>14381</v>
      </c>
      <c r="EF12" s="49">
        <v>22</v>
      </c>
      <c r="EG12" s="49">
        <v>29</v>
      </c>
      <c r="EH12" s="49">
        <v>8871</v>
      </c>
      <c r="EI12" s="49">
        <v>41</v>
      </c>
      <c r="EJ12" s="50">
        <v>29</v>
      </c>
      <c r="EK12" s="50">
        <v>7</v>
      </c>
      <c r="EL12" s="56">
        <v>83.3</v>
      </c>
      <c r="EM12" s="56">
        <v>59.8</v>
      </c>
      <c r="EN12" s="56">
        <v>71.599999999999994</v>
      </c>
      <c r="EO12" s="48" t="s">
        <v>213</v>
      </c>
      <c r="EP12" s="48" t="s">
        <v>210</v>
      </c>
      <c r="EQ12" s="50">
        <v>1</v>
      </c>
      <c r="ER12" s="50">
        <v>0</v>
      </c>
      <c r="ES12" s="50">
        <v>1</v>
      </c>
      <c r="ET12" s="50">
        <v>5</v>
      </c>
      <c r="EU12" s="50">
        <v>12</v>
      </c>
      <c r="EV12" s="50">
        <v>67</v>
      </c>
      <c r="EW12" s="50">
        <v>2</v>
      </c>
      <c r="EX12" s="50">
        <v>153</v>
      </c>
      <c r="EY12" s="50">
        <v>10</v>
      </c>
      <c r="EZ12" s="50">
        <v>4</v>
      </c>
      <c r="FA12" s="61">
        <v>45352</v>
      </c>
      <c r="FB12" s="50">
        <v>168</v>
      </c>
      <c r="FC12" s="50">
        <v>1117</v>
      </c>
      <c r="FD12" s="50">
        <v>55</v>
      </c>
      <c r="FE12" s="56">
        <v>2176.5216988429997</v>
      </c>
      <c r="FF12" s="56">
        <v>1835.174907521925</v>
      </c>
      <c r="FG12" s="61">
        <v>45717</v>
      </c>
      <c r="FH12" s="50">
        <v>7</v>
      </c>
      <c r="FI12" s="49">
        <v>32</v>
      </c>
      <c r="FJ12" s="48" t="s">
        <v>213</v>
      </c>
      <c r="FK12" s="49">
        <v>129631</v>
      </c>
      <c r="FL12" s="49">
        <v>6730</v>
      </c>
      <c r="FM12" s="49">
        <v>64545</v>
      </c>
      <c r="FN12" s="49">
        <v>115103</v>
      </c>
      <c r="FO12" s="49">
        <v>156</v>
      </c>
      <c r="FP12" s="49">
        <v>106865</v>
      </c>
      <c r="FQ12" s="48" t="s">
        <v>218</v>
      </c>
      <c r="FR12" s="53">
        <v>12.6</v>
      </c>
      <c r="FS12" s="53">
        <v>3.4899999999999998</v>
      </c>
      <c r="FT12" s="53">
        <v>1.7600000000000002</v>
      </c>
      <c r="FU12" s="48" t="s">
        <v>213</v>
      </c>
      <c r="FV12" s="50">
        <v>14449</v>
      </c>
      <c r="FW12" s="50">
        <v>0</v>
      </c>
      <c r="FX12" s="51">
        <f t="shared" si="11"/>
        <v>14449</v>
      </c>
      <c r="FY12" s="50">
        <v>0</v>
      </c>
      <c r="FZ12" s="51">
        <f t="shared" si="12"/>
        <v>14449</v>
      </c>
      <c r="GA12" s="48" t="s">
        <v>213</v>
      </c>
      <c r="GB12" s="49">
        <v>3980</v>
      </c>
      <c r="GC12" s="53">
        <v>14810</v>
      </c>
      <c r="GD12" s="49">
        <v>4267</v>
      </c>
      <c r="GE12" s="49">
        <v>14855.58</v>
      </c>
      <c r="GF12" s="54">
        <f t="shared" si="13"/>
        <v>107.2110552763819</v>
      </c>
      <c r="GG12" s="54">
        <f t="shared" si="13"/>
        <v>100.30776502363268</v>
      </c>
      <c r="GH12" s="48" t="s">
        <v>219</v>
      </c>
    </row>
    <row r="13" spans="1:190" ht="21.6" x14ac:dyDescent="0.3">
      <c r="A13" s="48">
        <v>7</v>
      </c>
      <c r="B13" s="48">
        <v>2026</v>
      </c>
      <c r="C13" s="49" t="s">
        <v>225</v>
      </c>
      <c r="D13" s="50">
        <v>3932</v>
      </c>
      <c r="E13" s="49">
        <v>3</v>
      </c>
      <c r="F13" s="49">
        <v>15</v>
      </c>
      <c r="G13" s="49">
        <v>14</v>
      </c>
      <c r="H13" s="49">
        <v>0</v>
      </c>
      <c r="I13" s="49">
        <v>2</v>
      </c>
      <c r="J13" s="49">
        <v>2</v>
      </c>
      <c r="K13" s="49">
        <v>58</v>
      </c>
      <c r="L13" s="49">
        <v>373</v>
      </c>
      <c r="M13" s="49">
        <v>19</v>
      </c>
      <c r="N13" s="49">
        <v>9</v>
      </c>
      <c r="O13" s="50">
        <v>1856</v>
      </c>
      <c r="P13" s="50">
        <v>96</v>
      </c>
      <c r="Q13" s="51">
        <f t="shared" si="14"/>
        <v>1952</v>
      </c>
      <c r="R13" s="52" t="s">
        <v>210</v>
      </c>
      <c r="S13" s="53">
        <v>45.57</v>
      </c>
      <c r="T13" s="53">
        <v>29.19</v>
      </c>
      <c r="U13" s="54">
        <f t="shared" si="1"/>
        <v>74.760000000000005</v>
      </c>
      <c r="V13" s="53">
        <v>7.54</v>
      </c>
      <c r="W13" s="53">
        <v>0.59</v>
      </c>
      <c r="X13" s="54">
        <f t="shared" si="2"/>
        <v>8.1300000000000008</v>
      </c>
      <c r="Y13" s="53">
        <v>22.09</v>
      </c>
      <c r="Z13" s="53">
        <v>2.59</v>
      </c>
      <c r="AA13" s="54">
        <f t="shared" si="3"/>
        <v>24.68</v>
      </c>
      <c r="AB13" s="53">
        <v>22.189999999999998</v>
      </c>
      <c r="AC13" s="53">
        <v>15.61</v>
      </c>
      <c r="AD13" s="54">
        <f t="shared" si="4"/>
        <v>37.799999999999997</v>
      </c>
      <c r="AE13" s="55">
        <v>44.19</v>
      </c>
      <c r="AF13" s="55">
        <v>49.06</v>
      </c>
      <c r="AG13" s="54">
        <f t="shared" si="5"/>
        <v>93.25</v>
      </c>
      <c r="AH13" s="54">
        <f t="shared" si="6"/>
        <v>141.57999999999998</v>
      </c>
      <c r="AI13" s="54">
        <f t="shared" si="6"/>
        <v>97.04</v>
      </c>
      <c r="AJ13" s="54">
        <f t="shared" si="6"/>
        <v>238.62</v>
      </c>
      <c r="AK13" s="48" t="s">
        <v>211</v>
      </c>
      <c r="AL13" s="56">
        <v>1566.1</v>
      </c>
      <c r="AM13" s="56">
        <v>1598.3846153846155</v>
      </c>
      <c r="AN13" s="57">
        <f t="shared" si="7"/>
        <v>32.284615384615563</v>
      </c>
      <c r="AO13" s="58" t="s">
        <v>212</v>
      </c>
      <c r="AP13" s="50">
        <v>21867</v>
      </c>
      <c r="AQ13" s="56">
        <v>71807.422510000004</v>
      </c>
      <c r="AR13" s="50">
        <v>127428</v>
      </c>
      <c r="AS13" s="52" t="s">
        <v>213</v>
      </c>
      <c r="AT13" s="50">
        <v>10205</v>
      </c>
      <c r="AU13" s="56">
        <v>489</v>
      </c>
      <c r="AV13" s="56">
        <v>14.82</v>
      </c>
      <c r="AW13" s="50">
        <v>20165</v>
      </c>
      <c r="AX13" s="52" t="s">
        <v>213</v>
      </c>
      <c r="AY13" s="50">
        <v>553</v>
      </c>
      <c r="AZ13" s="56">
        <v>542.5</v>
      </c>
      <c r="BA13" s="50">
        <v>1006</v>
      </c>
      <c r="BB13" s="52" t="s">
        <v>213</v>
      </c>
      <c r="BC13" s="50">
        <v>1353</v>
      </c>
      <c r="BD13" s="50">
        <v>1272</v>
      </c>
      <c r="BE13" s="51">
        <f t="shared" si="8"/>
        <v>2625</v>
      </c>
      <c r="BF13" s="50">
        <v>1889</v>
      </c>
      <c r="BG13" s="50">
        <v>736</v>
      </c>
      <c r="BH13" s="48" t="s">
        <v>210</v>
      </c>
      <c r="BI13" s="57">
        <f t="shared" si="9"/>
        <v>71.961904761904762</v>
      </c>
      <c r="BJ13" s="57">
        <f t="shared" si="9"/>
        <v>28.038095238095238</v>
      </c>
      <c r="BK13" s="57">
        <f t="shared" si="0"/>
        <v>51.542857142857144</v>
      </c>
      <c r="BL13" s="57">
        <f t="shared" si="0"/>
        <v>48.457142857142863</v>
      </c>
      <c r="BM13" s="50">
        <v>945</v>
      </c>
      <c r="BN13" s="50">
        <v>927</v>
      </c>
      <c r="BO13" s="50">
        <v>940</v>
      </c>
      <c r="BP13" s="48" t="s">
        <v>210</v>
      </c>
      <c r="BQ13" s="56">
        <v>11.1</v>
      </c>
      <c r="BR13" s="56">
        <v>14.8</v>
      </c>
      <c r="BS13" s="56">
        <v>12.1</v>
      </c>
      <c r="BT13" s="48" t="s">
        <v>214</v>
      </c>
      <c r="BU13" s="50">
        <v>595</v>
      </c>
      <c r="BV13" s="50">
        <v>667</v>
      </c>
      <c r="BW13" s="56">
        <v>6.2525762838511962</v>
      </c>
      <c r="BX13" s="50">
        <v>142</v>
      </c>
      <c r="BY13" s="50">
        <v>130</v>
      </c>
      <c r="BZ13" s="50">
        <v>272</v>
      </c>
      <c r="CA13" s="48" t="s">
        <v>210</v>
      </c>
      <c r="CB13" s="50">
        <v>1499</v>
      </c>
      <c r="CC13" s="50">
        <v>1429</v>
      </c>
      <c r="CD13" s="51">
        <f t="shared" si="10"/>
        <v>2928</v>
      </c>
      <c r="CE13" s="52" t="s">
        <v>215</v>
      </c>
      <c r="CF13" s="56">
        <v>574.86</v>
      </c>
      <c r="CG13" s="56">
        <v>0</v>
      </c>
      <c r="CH13" s="56">
        <v>3.52</v>
      </c>
      <c r="CI13" s="56">
        <v>0.74</v>
      </c>
      <c r="CJ13" s="56">
        <v>32.33</v>
      </c>
      <c r="CK13" s="56">
        <v>32.200000000000003</v>
      </c>
      <c r="CL13" s="56">
        <v>5.45</v>
      </c>
      <c r="CM13" s="56">
        <v>0.42</v>
      </c>
      <c r="CN13" s="59">
        <v>36.880000000000003</v>
      </c>
      <c r="CO13" s="59">
        <v>1.08</v>
      </c>
      <c r="CP13" s="59">
        <v>0.95</v>
      </c>
      <c r="CQ13" s="55">
        <v>41.34</v>
      </c>
      <c r="CR13" s="55">
        <v>163.47999999999999</v>
      </c>
      <c r="CS13" s="60" t="s">
        <v>216</v>
      </c>
      <c r="CT13" s="50">
        <v>89</v>
      </c>
      <c r="CU13" s="50">
        <v>11</v>
      </c>
      <c r="CV13" s="50">
        <v>11</v>
      </c>
      <c r="CW13" s="50">
        <v>10</v>
      </c>
      <c r="CX13" s="50">
        <v>73</v>
      </c>
      <c r="CY13" s="50">
        <v>10</v>
      </c>
      <c r="CZ13" s="50">
        <v>53</v>
      </c>
      <c r="DA13" s="50">
        <v>1</v>
      </c>
      <c r="DB13" s="50">
        <v>135</v>
      </c>
      <c r="DC13" s="60" t="s">
        <v>216</v>
      </c>
      <c r="DD13" s="56">
        <v>11.24</v>
      </c>
      <c r="DE13" s="56">
        <v>3.84</v>
      </c>
      <c r="DF13" s="56">
        <v>1.39</v>
      </c>
      <c r="DG13" s="56">
        <v>75.430000000000007</v>
      </c>
      <c r="DH13" s="56">
        <v>64.16</v>
      </c>
      <c r="DI13" s="60" t="s">
        <v>216</v>
      </c>
      <c r="DJ13" s="56">
        <v>93.47</v>
      </c>
      <c r="DK13" s="56">
        <v>178.64599999999999</v>
      </c>
      <c r="DL13" s="56">
        <v>133.834</v>
      </c>
      <c r="DM13" s="56">
        <v>1040.4970000000001</v>
      </c>
      <c r="DN13" s="56">
        <v>4167.3969999999999</v>
      </c>
      <c r="DO13" s="56" t="s">
        <v>217</v>
      </c>
      <c r="DP13" s="56" t="s">
        <v>217</v>
      </c>
      <c r="DQ13" s="56" t="s">
        <v>217</v>
      </c>
      <c r="DR13" s="56" t="s">
        <v>217</v>
      </c>
      <c r="DS13" s="56">
        <v>228.03</v>
      </c>
      <c r="DT13" s="48" t="s">
        <v>213</v>
      </c>
      <c r="DU13" s="56">
        <v>95</v>
      </c>
      <c r="DV13" s="49">
        <v>19</v>
      </c>
      <c r="DW13" s="48" t="s">
        <v>213</v>
      </c>
      <c r="DX13" s="49">
        <v>1081</v>
      </c>
      <c r="DY13" s="49">
        <v>170414</v>
      </c>
      <c r="DZ13" s="49">
        <v>17</v>
      </c>
      <c r="EA13" s="49">
        <v>1013</v>
      </c>
      <c r="EB13" s="49">
        <v>114676</v>
      </c>
      <c r="EC13" s="49">
        <v>15</v>
      </c>
      <c r="ED13" s="49">
        <v>557</v>
      </c>
      <c r="EE13" s="49">
        <v>70595</v>
      </c>
      <c r="EF13" s="49">
        <v>14</v>
      </c>
      <c r="EG13" s="49">
        <v>166</v>
      </c>
      <c r="EH13" s="49">
        <v>61159</v>
      </c>
      <c r="EI13" s="49">
        <v>35</v>
      </c>
      <c r="EJ13" s="50">
        <v>135</v>
      </c>
      <c r="EK13" s="50">
        <v>70</v>
      </c>
      <c r="EL13" s="56">
        <v>91.1</v>
      </c>
      <c r="EM13" s="56">
        <v>79.599999999999994</v>
      </c>
      <c r="EN13" s="56">
        <v>85.5</v>
      </c>
      <c r="EO13" s="48" t="s">
        <v>213</v>
      </c>
      <c r="EP13" s="48" t="s">
        <v>210</v>
      </c>
      <c r="EQ13" s="50">
        <v>1</v>
      </c>
      <c r="ER13" s="50">
        <v>1</v>
      </c>
      <c r="ES13" s="50">
        <v>1</v>
      </c>
      <c r="ET13" s="50">
        <v>21</v>
      </c>
      <c r="EU13" s="50">
        <v>74</v>
      </c>
      <c r="EV13" s="50">
        <v>332</v>
      </c>
      <c r="EW13" s="50">
        <v>0</v>
      </c>
      <c r="EX13" s="50">
        <v>2784</v>
      </c>
      <c r="EY13" s="50">
        <v>23</v>
      </c>
      <c r="EZ13" s="50">
        <v>29</v>
      </c>
      <c r="FA13" s="61">
        <v>45352</v>
      </c>
      <c r="FB13" s="50">
        <v>424</v>
      </c>
      <c r="FC13" s="50">
        <v>1856</v>
      </c>
      <c r="FD13" s="50">
        <v>502</v>
      </c>
      <c r="FE13" s="56">
        <v>44918.349394363089</v>
      </c>
      <c r="FF13" s="56">
        <v>27857.746932811195</v>
      </c>
      <c r="FG13" s="61">
        <v>45717</v>
      </c>
      <c r="FH13" s="50">
        <v>27</v>
      </c>
      <c r="FI13" s="49">
        <v>188</v>
      </c>
      <c r="FJ13" s="48" t="s">
        <v>213</v>
      </c>
      <c r="FK13" s="49">
        <v>548770</v>
      </c>
      <c r="FL13" s="49">
        <v>14827</v>
      </c>
      <c r="FM13" s="49">
        <v>67753</v>
      </c>
      <c r="FN13" s="49">
        <v>221665</v>
      </c>
      <c r="FO13" s="49">
        <v>932</v>
      </c>
      <c r="FP13" s="49">
        <v>1403204</v>
      </c>
      <c r="FQ13" s="48" t="s">
        <v>218</v>
      </c>
      <c r="FR13" s="53">
        <v>430.36</v>
      </c>
      <c r="FS13" s="53">
        <v>668.1</v>
      </c>
      <c r="FT13" s="53">
        <v>34.75</v>
      </c>
      <c r="FU13" s="48" t="s">
        <v>213</v>
      </c>
      <c r="FV13" s="50">
        <v>28884</v>
      </c>
      <c r="FW13" s="50">
        <v>0</v>
      </c>
      <c r="FX13" s="51">
        <f t="shared" si="11"/>
        <v>28884</v>
      </c>
      <c r="FY13" s="50">
        <v>0</v>
      </c>
      <c r="FZ13" s="51">
        <f t="shared" si="12"/>
        <v>28884</v>
      </c>
      <c r="GA13" s="48" t="s">
        <v>213</v>
      </c>
      <c r="GB13" s="49">
        <v>24385</v>
      </c>
      <c r="GC13" s="53">
        <v>96550</v>
      </c>
      <c r="GD13" s="49">
        <v>24784</v>
      </c>
      <c r="GE13" s="49">
        <v>108400.97</v>
      </c>
      <c r="GF13" s="54">
        <f t="shared" si="13"/>
        <v>101.63625179413573</v>
      </c>
      <c r="GG13" s="54">
        <f t="shared" si="13"/>
        <v>112.27443811496633</v>
      </c>
      <c r="GH13" s="48" t="s">
        <v>219</v>
      </c>
    </row>
    <row r="14" spans="1:190" ht="21.6" x14ac:dyDescent="0.3">
      <c r="A14" s="48">
        <v>8</v>
      </c>
      <c r="B14" s="48">
        <v>2026</v>
      </c>
      <c r="C14" s="49" t="s">
        <v>226</v>
      </c>
      <c r="D14" s="50">
        <v>2940</v>
      </c>
      <c r="E14" s="49">
        <v>1</v>
      </c>
      <c r="F14" s="49">
        <v>3</v>
      </c>
      <c r="G14" s="49">
        <v>3</v>
      </c>
      <c r="H14" s="49">
        <v>1</v>
      </c>
      <c r="I14" s="49">
        <v>1</v>
      </c>
      <c r="J14" s="49">
        <v>0</v>
      </c>
      <c r="K14" s="49">
        <v>6</v>
      </c>
      <c r="L14" s="49">
        <v>70</v>
      </c>
      <c r="M14" s="49">
        <v>3</v>
      </c>
      <c r="N14" s="49">
        <v>1</v>
      </c>
      <c r="O14" s="50">
        <v>718</v>
      </c>
      <c r="P14" s="50">
        <v>160</v>
      </c>
      <c r="Q14" s="51">
        <f t="shared" si="14"/>
        <v>878</v>
      </c>
      <c r="R14" s="52" t="s">
        <v>210</v>
      </c>
      <c r="S14" s="53">
        <v>7.73</v>
      </c>
      <c r="T14" s="53">
        <v>0</v>
      </c>
      <c r="U14" s="54">
        <f t="shared" si="1"/>
        <v>7.73</v>
      </c>
      <c r="V14" s="53">
        <v>7.29</v>
      </c>
      <c r="W14" s="53">
        <v>6.22</v>
      </c>
      <c r="X14" s="54">
        <f t="shared" si="2"/>
        <v>13.51</v>
      </c>
      <c r="Y14" s="53">
        <v>4.18</v>
      </c>
      <c r="Z14" s="53">
        <v>0.38</v>
      </c>
      <c r="AA14" s="54">
        <f t="shared" si="3"/>
        <v>4.5599999999999996</v>
      </c>
      <c r="AB14" s="53">
        <v>12.879999999999999</v>
      </c>
      <c r="AC14" s="53">
        <v>6.63</v>
      </c>
      <c r="AD14" s="54">
        <f t="shared" si="4"/>
        <v>19.509999999999998</v>
      </c>
      <c r="AE14" s="55">
        <v>4.37</v>
      </c>
      <c r="AF14" s="55">
        <v>1.75</v>
      </c>
      <c r="AG14" s="54">
        <f t="shared" si="5"/>
        <v>6.12</v>
      </c>
      <c r="AH14" s="54">
        <f t="shared" si="6"/>
        <v>36.449999999999996</v>
      </c>
      <c r="AI14" s="54">
        <f t="shared" si="6"/>
        <v>14.98</v>
      </c>
      <c r="AJ14" s="54">
        <f t="shared" si="6"/>
        <v>51.43</v>
      </c>
      <c r="AK14" s="48" t="s">
        <v>211</v>
      </c>
      <c r="AL14" s="56">
        <v>1357.4</v>
      </c>
      <c r="AM14" s="56">
        <v>1214.1333333333337</v>
      </c>
      <c r="AN14" s="57">
        <f t="shared" si="7"/>
        <v>-143.26666666666642</v>
      </c>
      <c r="AO14" s="58" t="s">
        <v>212</v>
      </c>
      <c r="AP14" s="50">
        <v>2067</v>
      </c>
      <c r="AQ14" s="56">
        <v>3603.9879700000001</v>
      </c>
      <c r="AR14" s="50">
        <v>10873</v>
      </c>
      <c r="AS14" s="52" t="s">
        <v>213</v>
      </c>
      <c r="AT14" s="50">
        <v>0</v>
      </c>
      <c r="AU14" s="56">
        <v>0</v>
      </c>
      <c r="AV14" s="56">
        <v>0</v>
      </c>
      <c r="AW14" s="50">
        <v>0</v>
      </c>
      <c r="AX14" s="52" t="s">
        <v>213</v>
      </c>
      <c r="AY14" s="50">
        <v>36</v>
      </c>
      <c r="AZ14" s="56">
        <v>20.99</v>
      </c>
      <c r="BA14" s="50">
        <v>46</v>
      </c>
      <c r="BB14" s="52" t="s">
        <v>213</v>
      </c>
      <c r="BC14" s="50">
        <v>158</v>
      </c>
      <c r="BD14" s="50">
        <v>154</v>
      </c>
      <c r="BE14" s="51">
        <f t="shared" si="8"/>
        <v>312</v>
      </c>
      <c r="BF14" s="50">
        <v>290</v>
      </c>
      <c r="BG14" s="50">
        <v>22</v>
      </c>
      <c r="BH14" s="48" t="s">
        <v>210</v>
      </c>
      <c r="BI14" s="57">
        <f t="shared" si="9"/>
        <v>92.948717948717956</v>
      </c>
      <c r="BJ14" s="57">
        <f t="shared" si="9"/>
        <v>7.0512820512820511</v>
      </c>
      <c r="BK14" s="57">
        <f t="shared" si="0"/>
        <v>50.641025641025635</v>
      </c>
      <c r="BL14" s="57">
        <f t="shared" si="0"/>
        <v>49.358974358974365</v>
      </c>
      <c r="BM14" s="50">
        <v>978</v>
      </c>
      <c r="BN14" s="50">
        <v>936</v>
      </c>
      <c r="BO14" s="50">
        <v>975</v>
      </c>
      <c r="BP14" s="48" t="s">
        <v>210</v>
      </c>
      <c r="BQ14" s="56">
        <v>14.2</v>
      </c>
      <c r="BR14" s="56">
        <v>11.4</v>
      </c>
      <c r="BS14" s="56">
        <v>14</v>
      </c>
      <c r="BT14" s="48" t="s">
        <v>214</v>
      </c>
      <c r="BU14" s="50">
        <v>93</v>
      </c>
      <c r="BV14" s="50">
        <v>106</v>
      </c>
      <c r="BW14" s="56">
        <v>0.74455228683474217</v>
      </c>
      <c r="BX14" s="50">
        <v>21</v>
      </c>
      <c r="BY14" s="50">
        <v>19</v>
      </c>
      <c r="BZ14" s="50">
        <v>40</v>
      </c>
      <c r="CA14" s="48" t="s">
        <v>210</v>
      </c>
      <c r="CB14" s="50">
        <v>175</v>
      </c>
      <c r="CC14" s="50">
        <v>173</v>
      </c>
      <c r="CD14" s="51">
        <f t="shared" si="10"/>
        <v>348</v>
      </c>
      <c r="CE14" s="52" t="s">
        <v>215</v>
      </c>
      <c r="CF14" s="56">
        <v>119.03</v>
      </c>
      <c r="CG14" s="56">
        <v>0</v>
      </c>
      <c r="CH14" s="56">
        <v>3.26</v>
      </c>
      <c r="CI14" s="56">
        <v>0.27</v>
      </c>
      <c r="CJ14" s="56">
        <v>12.7</v>
      </c>
      <c r="CK14" s="56">
        <v>4.67</v>
      </c>
      <c r="CL14" s="56">
        <v>1.01</v>
      </c>
      <c r="CM14" s="56">
        <v>3.19</v>
      </c>
      <c r="CN14" s="59">
        <v>6.59</v>
      </c>
      <c r="CO14" s="59">
        <v>1.51</v>
      </c>
      <c r="CP14" s="59">
        <v>0</v>
      </c>
      <c r="CQ14" s="55">
        <v>13.8</v>
      </c>
      <c r="CR14" s="55">
        <v>0.74</v>
      </c>
      <c r="CS14" s="60" t="s">
        <v>216</v>
      </c>
      <c r="CT14" s="50">
        <v>155</v>
      </c>
      <c r="CU14" s="50">
        <v>1</v>
      </c>
      <c r="CV14" s="50">
        <v>5</v>
      </c>
      <c r="CW14" s="50">
        <v>6</v>
      </c>
      <c r="CX14" s="50">
        <v>51</v>
      </c>
      <c r="CY14" s="50">
        <v>7</v>
      </c>
      <c r="CZ14" s="50">
        <v>0</v>
      </c>
      <c r="DA14" s="50">
        <v>2</v>
      </c>
      <c r="DB14" s="50">
        <v>67</v>
      </c>
      <c r="DC14" s="60" t="s">
        <v>216</v>
      </c>
      <c r="DD14" s="56">
        <v>4.54</v>
      </c>
      <c r="DE14" s="56">
        <v>2.2200000000000002</v>
      </c>
      <c r="DF14" s="56">
        <v>0.41</v>
      </c>
      <c r="DG14" s="56">
        <v>8.31</v>
      </c>
      <c r="DH14" s="56">
        <v>67.650000000000006</v>
      </c>
      <c r="DI14" s="60" t="s">
        <v>216</v>
      </c>
      <c r="DJ14" s="56">
        <v>192.25</v>
      </c>
      <c r="DK14" s="56">
        <v>75.909000000000006</v>
      </c>
      <c r="DL14" s="56">
        <v>37.854999999999997</v>
      </c>
      <c r="DM14" s="56">
        <v>622.38</v>
      </c>
      <c r="DN14" s="56">
        <v>1094.0640000000001</v>
      </c>
      <c r="DO14" s="56" t="s">
        <v>217</v>
      </c>
      <c r="DP14" s="56" t="s">
        <v>217</v>
      </c>
      <c r="DQ14" s="56" t="s">
        <v>217</v>
      </c>
      <c r="DR14" s="56" t="s">
        <v>217</v>
      </c>
      <c r="DS14" s="56">
        <v>117.25</v>
      </c>
      <c r="DT14" s="48" t="s">
        <v>213</v>
      </c>
      <c r="DU14" s="56">
        <v>0</v>
      </c>
      <c r="DV14" s="49">
        <v>0</v>
      </c>
      <c r="DW14" s="48" t="s">
        <v>213</v>
      </c>
      <c r="DX14" s="49">
        <v>244</v>
      </c>
      <c r="DY14" s="49">
        <v>23974</v>
      </c>
      <c r="DZ14" s="49">
        <v>14</v>
      </c>
      <c r="EA14" s="49">
        <v>237</v>
      </c>
      <c r="EB14" s="49">
        <v>15066</v>
      </c>
      <c r="EC14" s="49">
        <v>11</v>
      </c>
      <c r="ED14" s="49">
        <v>87</v>
      </c>
      <c r="EE14" s="49">
        <v>9144</v>
      </c>
      <c r="EF14" s="49">
        <v>14</v>
      </c>
      <c r="EG14" s="49">
        <v>31</v>
      </c>
      <c r="EH14" s="49">
        <v>6396</v>
      </c>
      <c r="EI14" s="49">
        <v>29</v>
      </c>
      <c r="EJ14" s="50">
        <v>25</v>
      </c>
      <c r="EK14" s="50">
        <v>11</v>
      </c>
      <c r="EL14" s="56">
        <v>81.900000000000006</v>
      </c>
      <c r="EM14" s="56">
        <v>63</v>
      </c>
      <c r="EN14" s="56">
        <v>72.599999999999994</v>
      </c>
      <c r="EO14" s="48" t="s">
        <v>213</v>
      </c>
      <c r="EP14" s="48" t="s">
        <v>210</v>
      </c>
      <c r="EQ14" s="50">
        <v>1</v>
      </c>
      <c r="ER14" s="50">
        <v>0</v>
      </c>
      <c r="ES14" s="50">
        <v>1</v>
      </c>
      <c r="ET14" s="50">
        <v>4</v>
      </c>
      <c r="EU14" s="50">
        <v>8</v>
      </c>
      <c r="EV14" s="50">
        <v>42</v>
      </c>
      <c r="EW14" s="50">
        <v>1</v>
      </c>
      <c r="EX14" s="50">
        <v>116</v>
      </c>
      <c r="EY14" s="50">
        <v>8</v>
      </c>
      <c r="EZ14" s="50">
        <v>2</v>
      </c>
      <c r="FA14" s="61">
        <v>45352</v>
      </c>
      <c r="FB14" s="50">
        <v>103</v>
      </c>
      <c r="FC14" s="50">
        <v>718</v>
      </c>
      <c r="FD14" s="50">
        <v>44</v>
      </c>
      <c r="FE14" s="56">
        <v>2357.8278518009997</v>
      </c>
      <c r="FF14" s="56">
        <v>1118.5030125216369</v>
      </c>
      <c r="FG14" s="61">
        <v>45717</v>
      </c>
      <c r="FH14" s="50">
        <v>4</v>
      </c>
      <c r="FI14" s="49">
        <v>24</v>
      </c>
      <c r="FJ14" s="48" t="s">
        <v>213</v>
      </c>
      <c r="FK14" s="49">
        <v>128338</v>
      </c>
      <c r="FL14" s="49">
        <v>1571</v>
      </c>
      <c r="FM14" s="49">
        <v>1936</v>
      </c>
      <c r="FN14" s="49">
        <v>101691</v>
      </c>
      <c r="FO14" s="49">
        <v>832</v>
      </c>
      <c r="FP14" s="49">
        <v>179909</v>
      </c>
      <c r="FQ14" s="48" t="s">
        <v>218</v>
      </c>
      <c r="FR14" s="53">
        <v>2.19</v>
      </c>
      <c r="FS14" s="53">
        <v>116.8</v>
      </c>
      <c r="FT14" s="53">
        <v>1.37</v>
      </c>
      <c r="FU14" s="48" t="s">
        <v>213</v>
      </c>
      <c r="FV14" s="50">
        <v>11212</v>
      </c>
      <c r="FW14" s="50">
        <v>0</v>
      </c>
      <c r="FX14" s="51">
        <f t="shared" si="11"/>
        <v>11212</v>
      </c>
      <c r="FY14" s="50">
        <v>0</v>
      </c>
      <c r="FZ14" s="51">
        <f t="shared" si="12"/>
        <v>11212</v>
      </c>
      <c r="GA14" s="48" t="s">
        <v>213</v>
      </c>
      <c r="GB14" s="49">
        <v>4450</v>
      </c>
      <c r="GC14" s="53">
        <v>14290</v>
      </c>
      <c r="GD14" s="49">
        <v>4774</v>
      </c>
      <c r="GE14" s="49">
        <v>17071.439999999999</v>
      </c>
      <c r="GF14" s="54">
        <f t="shared" si="13"/>
        <v>107.28089887640448</v>
      </c>
      <c r="GG14" s="54">
        <f t="shared" si="13"/>
        <v>119.46424072778166</v>
      </c>
      <c r="GH14" s="48" t="s">
        <v>219</v>
      </c>
    </row>
    <row r="15" spans="1:190" ht="21.6" x14ac:dyDescent="0.3">
      <c r="A15" s="48">
        <v>9</v>
      </c>
      <c r="B15" s="48">
        <v>2026</v>
      </c>
      <c r="C15" s="49" t="s">
        <v>227</v>
      </c>
      <c r="D15" s="50">
        <v>4452</v>
      </c>
      <c r="E15" s="49">
        <v>3</v>
      </c>
      <c r="F15" s="49">
        <v>8</v>
      </c>
      <c r="G15" s="49">
        <v>8</v>
      </c>
      <c r="H15" s="49">
        <v>0</v>
      </c>
      <c r="I15" s="49">
        <v>1</v>
      </c>
      <c r="J15" s="49">
        <v>3</v>
      </c>
      <c r="K15" s="49">
        <v>16</v>
      </c>
      <c r="L15" s="49">
        <v>212</v>
      </c>
      <c r="M15" s="49">
        <v>10</v>
      </c>
      <c r="N15" s="49">
        <v>4</v>
      </c>
      <c r="O15" s="50">
        <v>1081</v>
      </c>
      <c r="P15" s="50">
        <v>127</v>
      </c>
      <c r="Q15" s="51">
        <f t="shared" si="14"/>
        <v>1208</v>
      </c>
      <c r="R15" s="52" t="s">
        <v>210</v>
      </c>
      <c r="S15" s="53">
        <v>33.4</v>
      </c>
      <c r="T15" s="53">
        <v>23.94</v>
      </c>
      <c r="U15" s="54">
        <f t="shared" si="1"/>
        <v>57.34</v>
      </c>
      <c r="V15" s="53">
        <v>5.61</v>
      </c>
      <c r="W15" s="53">
        <v>1.5</v>
      </c>
      <c r="X15" s="54">
        <f t="shared" si="2"/>
        <v>7.11</v>
      </c>
      <c r="Y15" s="53">
        <v>7.57</v>
      </c>
      <c r="Z15" s="53">
        <v>2.6</v>
      </c>
      <c r="AA15" s="54">
        <f t="shared" si="3"/>
        <v>10.17</v>
      </c>
      <c r="AB15" s="53">
        <v>13.79</v>
      </c>
      <c r="AC15" s="53">
        <v>15.379999999999999</v>
      </c>
      <c r="AD15" s="54">
        <f t="shared" si="4"/>
        <v>29.169999999999998</v>
      </c>
      <c r="AE15" s="55">
        <v>17.23</v>
      </c>
      <c r="AF15" s="55">
        <v>15.95</v>
      </c>
      <c r="AG15" s="54">
        <f t="shared" si="5"/>
        <v>33.18</v>
      </c>
      <c r="AH15" s="54">
        <f t="shared" si="6"/>
        <v>77.599999999999994</v>
      </c>
      <c r="AI15" s="54">
        <f t="shared" si="6"/>
        <v>59.370000000000005</v>
      </c>
      <c r="AJ15" s="54">
        <f t="shared" si="6"/>
        <v>136.97</v>
      </c>
      <c r="AK15" s="48" t="s">
        <v>211</v>
      </c>
      <c r="AL15" s="56">
        <v>1429.2</v>
      </c>
      <c r="AM15" s="56">
        <v>1496.2</v>
      </c>
      <c r="AN15" s="57">
        <f t="shared" si="7"/>
        <v>67</v>
      </c>
      <c r="AO15" s="58" t="s">
        <v>212</v>
      </c>
      <c r="AP15" s="50">
        <v>7618</v>
      </c>
      <c r="AQ15" s="56">
        <v>19566.868740000002</v>
      </c>
      <c r="AR15" s="50">
        <v>35251</v>
      </c>
      <c r="AS15" s="52" t="s">
        <v>213</v>
      </c>
      <c r="AT15" s="50">
        <v>193</v>
      </c>
      <c r="AU15" s="56">
        <v>178.07</v>
      </c>
      <c r="AV15" s="56">
        <v>0.26</v>
      </c>
      <c r="AW15" s="50">
        <v>320</v>
      </c>
      <c r="AX15" s="52" t="s">
        <v>213</v>
      </c>
      <c r="AY15" s="50">
        <v>318</v>
      </c>
      <c r="AZ15" s="56">
        <v>180.13</v>
      </c>
      <c r="BA15" s="50">
        <v>318</v>
      </c>
      <c r="BB15" s="52" t="s">
        <v>213</v>
      </c>
      <c r="BC15" s="50">
        <v>613</v>
      </c>
      <c r="BD15" s="50">
        <v>580</v>
      </c>
      <c r="BE15" s="51">
        <f t="shared" si="8"/>
        <v>1193</v>
      </c>
      <c r="BF15" s="50">
        <v>1075</v>
      </c>
      <c r="BG15" s="50">
        <v>118</v>
      </c>
      <c r="BH15" s="48" t="s">
        <v>210</v>
      </c>
      <c r="BI15" s="57">
        <f t="shared" si="9"/>
        <v>90.108968985750209</v>
      </c>
      <c r="BJ15" s="57">
        <f t="shared" si="9"/>
        <v>9.8910310142497906</v>
      </c>
      <c r="BK15" s="57">
        <f t="shared" si="0"/>
        <v>51.383067896060354</v>
      </c>
      <c r="BL15" s="57">
        <f t="shared" si="0"/>
        <v>48.616932103939646</v>
      </c>
      <c r="BM15" s="50">
        <v>950</v>
      </c>
      <c r="BN15" s="50">
        <v>918</v>
      </c>
      <c r="BO15" s="50">
        <v>947</v>
      </c>
      <c r="BP15" s="48" t="s">
        <v>210</v>
      </c>
      <c r="BQ15" s="56">
        <v>10.4</v>
      </c>
      <c r="BR15" s="56">
        <v>26.5</v>
      </c>
      <c r="BS15" s="56">
        <v>11.8</v>
      </c>
      <c r="BT15" s="48" t="s">
        <v>214</v>
      </c>
      <c r="BU15" s="50">
        <v>240</v>
      </c>
      <c r="BV15" s="50">
        <v>268</v>
      </c>
      <c r="BW15" s="56">
        <v>2.8417706316768072</v>
      </c>
      <c r="BX15" s="50">
        <v>74</v>
      </c>
      <c r="BY15" s="50">
        <v>65</v>
      </c>
      <c r="BZ15" s="50">
        <v>139</v>
      </c>
      <c r="CA15" s="48" t="s">
        <v>210</v>
      </c>
      <c r="CB15" s="50">
        <v>678</v>
      </c>
      <c r="CC15" s="50">
        <v>651</v>
      </c>
      <c r="CD15" s="51">
        <f t="shared" si="10"/>
        <v>1329</v>
      </c>
      <c r="CE15" s="52" t="s">
        <v>215</v>
      </c>
      <c r="CF15" s="56">
        <v>291.94</v>
      </c>
      <c r="CG15" s="56">
        <v>0.05</v>
      </c>
      <c r="CH15" s="56">
        <v>17.55</v>
      </c>
      <c r="CI15" s="56">
        <v>3.69</v>
      </c>
      <c r="CJ15" s="56">
        <v>22.5</v>
      </c>
      <c r="CK15" s="56">
        <v>25.45</v>
      </c>
      <c r="CL15" s="56">
        <v>8.01</v>
      </c>
      <c r="CM15" s="56">
        <v>6.05</v>
      </c>
      <c r="CN15" s="59">
        <v>31.07</v>
      </c>
      <c r="CO15" s="59">
        <v>1.58</v>
      </c>
      <c r="CP15" s="59">
        <v>2.89</v>
      </c>
      <c r="CQ15" s="55">
        <v>18.82</v>
      </c>
      <c r="CR15" s="55">
        <v>42.62</v>
      </c>
      <c r="CS15" s="60" t="s">
        <v>216</v>
      </c>
      <c r="CT15" s="50">
        <v>191</v>
      </c>
      <c r="CU15" s="50">
        <v>6</v>
      </c>
      <c r="CV15" s="50">
        <v>8</v>
      </c>
      <c r="CW15" s="50">
        <v>4</v>
      </c>
      <c r="CX15" s="50">
        <v>25</v>
      </c>
      <c r="CY15" s="50">
        <v>5</v>
      </c>
      <c r="CZ15" s="50">
        <v>19</v>
      </c>
      <c r="DA15" s="50">
        <v>20</v>
      </c>
      <c r="DB15" s="50">
        <v>167</v>
      </c>
      <c r="DC15" s="60" t="s">
        <v>216</v>
      </c>
      <c r="DD15" s="56">
        <v>5.73</v>
      </c>
      <c r="DE15" s="56">
        <v>2.92</v>
      </c>
      <c r="DF15" s="56">
        <v>0.5</v>
      </c>
      <c r="DG15" s="56">
        <v>10.119999999999999</v>
      </c>
      <c r="DH15" s="56">
        <v>34.299999999999997</v>
      </c>
      <c r="DI15" s="60" t="s">
        <v>216</v>
      </c>
      <c r="DJ15" s="56">
        <v>217.64</v>
      </c>
      <c r="DK15" s="56">
        <v>10.785</v>
      </c>
      <c r="DL15" s="56">
        <v>101.545</v>
      </c>
      <c r="DM15" s="56">
        <v>858.72199999999998</v>
      </c>
      <c r="DN15" s="56">
        <v>2727.598</v>
      </c>
      <c r="DO15" s="56" t="s">
        <v>217</v>
      </c>
      <c r="DP15" s="56" t="s">
        <v>217</v>
      </c>
      <c r="DQ15" s="56" t="s">
        <v>217</v>
      </c>
      <c r="DR15" s="56" t="s">
        <v>217</v>
      </c>
      <c r="DS15" s="56">
        <v>272.27999999999997</v>
      </c>
      <c r="DT15" s="48" t="s">
        <v>213</v>
      </c>
      <c r="DU15" s="56">
        <v>179</v>
      </c>
      <c r="DV15" s="49">
        <v>16</v>
      </c>
      <c r="DW15" s="48" t="s">
        <v>213</v>
      </c>
      <c r="DX15" s="49">
        <v>636</v>
      </c>
      <c r="DY15" s="49">
        <v>87108</v>
      </c>
      <c r="DZ15" s="49">
        <v>18</v>
      </c>
      <c r="EA15" s="49">
        <v>664</v>
      </c>
      <c r="EB15" s="49">
        <v>56766</v>
      </c>
      <c r="EC15" s="49">
        <v>14</v>
      </c>
      <c r="ED15" s="49">
        <v>272</v>
      </c>
      <c r="EE15" s="49">
        <v>35254</v>
      </c>
      <c r="EF15" s="49">
        <v>18</v>
      </c>
      <c r="EG15" s="49">
        <v>79</v>
      </c>
      <c r="EH15" s="49">
        <v>25035</v>
      </c>
      <c r="EI15" s="49">
        <v>38</v>
      </c>
      <c r="EJ15" s="50">
        <v>75</v>
      </c>
      <c r="EK15" s="50">
        <v>32</v>
      </c>
      <c r="EL15" s="56">
        <v>86.2</v>
      </c>
      <c r="EM15" s="56">
        <v>71</v>
      </c>
      <c r="EN15" s="56">
        <v>78.8</v>
      </c>
      <c r="EO15" s="48" t="s">
        <v>213</v>
      </c>
      <c r="EP15" s="48" t="s">
        <v>210</v>
      </c>
      <c r="EQ15" s="50">
        <v>1</v>
      </c>
      <c r="ER15" s="50">
        <v>0</v>
      </c>
      <c r="ES15" s="50">
        <v>1</v>
      </c>
      <c r="ET15" s="50">
        <v>10</v>
      </c>
      <c r="EU15" s="50">
        <v>38</v>
      </c>
      <c r="EV15" s="50">
        <v>167</v>
      </c>
      <c r="EW15" s="50">
        <v>5</v>
      </c>
      <c r="EX15" s="50">
        <v>487</v>
      </c>
      <c r="EY15" s="50">
        <v>22</v>
      </c>
      <c r="EZ15" s="50">
        <v>19</v>
      </c>
      <c r="FA15" s="61">
        <v>45352</v>
      </c>
      <c r="FB15" s="50">
        <v>230</v>
      </c>
      <c r="FC15" s="50">
        <v>1081</v>
      </c>
      <c r="FD15" s="50">
        <v>155</v>
      </c>
      <c r="FE15" s="56">
        <v>9927.8245115540012</v>
      </c>
      <c r="FF15" s="56">
        <v>7221.8856722693463</v>
      </c>
      <c r="FG15" s="61">
        <v>45717</v>
      </c>
      <c r="FH15" s="50">
        <v>18</v>
      </c>
      <c r="FI15" s="49">
        <v>93</v>
      </c>
      <c r="FJ15" s="48" t="s">
        <v>213</v>
      </c>
      <c r="FK15" s="49">
        <v>376196</v>
      </c>
      <c r="FL15" s="49">
        <v>13729</v>
      </c>
      <c r="FM15" s="49">
        <v>19429</v>
      </c>
      <c r="FN15" s="49">
        <v>164167</v>
      </c>
      <c r="FO15" s="49">
        <v>367</v>
      </c>
      <c r="FP15" s="49">
        <v>795049</v>
      </c>
      <c r="FQ15" s="48" t="s">
        <v>218</v>
      </c>
      <c r="FR15" s="53">
        <v>83.98</v>
      </c>
      <c r="FS15" s="53">
        <v>3300.5</v>
      </c>
      <c r="FT15" s="53">
        <v>15.69</v>
      </c>
      <c r="FU15" s="48" t="s">
        <v>213</v>
      </c>
      <c r="FV15" s="50">
        <v>20529</v>
      </c>
      <c r="FW15" s="50">
        <v>0</v>
      </c>
      <c r="FX15" s="51">
        <f t="shared" si="11"/>
        <v>20529</v>
      </c>
      <c r="FY15" s="50">
        <v>0</v>
      </c>
      <c r="FZ15" s="51">
        <f t="shared" si="12"/>
        <v>20529</v>
      </c>
      <c r="GA15" s="48" t="s">
        <v>213</v>
      </c>
      <c r="GB15" s="49">
        <v>12090</v>
      </c>
      <c r="GC15" s="53">
        <v>45440</v>
      </c>
      <c r="GD15" s="49">
        <v>12537</v>
      </c>
      <c r="GE15" s="49">
        <v>51800.34</v>
      </c>
      <c r="GF15" s="54">
        <f t="shared" si="13"/>
        <v>103.69727047146402</v>
      </c>
      <c r="GG15" s="54">
        <f t="shared" si="13"/>
        <v>113.99722711267606</v>
      </c>
      <c r="GH15" s="48" t="s">
        <v>219</v>
      </c>
    </row>
    <row r="16" spans="1:190" ht="21.6" x14ac:dyDescent="0.3">
      <c r="A16" s="48">
        <v>10</v>
      </c>
      <c r="B16" s="48">
        <v>2026</v>
      </c>
      <c r="C16" s="49" t="s">
        <v>228</v>
      </c>
      <c r="D16" s="50">
        <v>4325</v>
      </c>
      <c r="E16" s="49">
        <v>1</v>
      </c>
      <c r="F16" s="49">
        <v>7</v>
      </c>
      <c r="G16" s="49">
        <v>7</v>
      </c>
      <c r="H16" s="49">
        <v>5</v>
      </c>
      <c r="I16" s="49">
        <v>1</v>
      </c>
      <c r="J16" s="49">
        <v>1</v>
      </c>
      <c r="K16" s="49">
        <v>11</v>
      </c>
      <c r="L16" s="49">
        <v>149</v>
      </c>
      <c r="M16" s="49">
        <v>7</v>
      </c>
      <c r="N16" s="49">
        <v>2</v>
      </c>
      <c r="O16" s="50">
        <v>1499</v>
      </c>
      <c r="P16" s="50">
        <v>113</v>
      </c>
      <c r="Q16" s="51">
        <f t="shared" si="14"/>
        <v>1612</v>
      </c>
      <c r="R16" s="52" t="s">
        <v>210</v>
      </c>
      <c r="S16" s="53">
        <v>0.05</v>
      </c>
      <c r="T16" s="53">
        <v>0</v>
      </c>
      <c r="U16" s="54">
        <f t="shared" si="1"/>
        <v>0.05</v>
      </c>
      <c r="V16" s="53">
        <v>0</v>
      </c>
      <c r="W16" s="53">
        <v>0</v>
      </c>
      <c r="X16" s="54">
        <f t="shared" si="2"/>
        <v>0</v>
      </c>
      <c r="Y16" s="53">
        <v>7.71</v>
      </c>
      <c r="Z16" s="53">
        <v>1.65</v>
      </c>
      <c r="AA16" s="54">
        <f t="shared" si="3"/>
        <v>9.36</v>
      </c>
      <c r="AB16" s="53">
        <v>3.25</v>
      </c>
      <c r="AC16" s="53">
        <v>5.0299999999999994</v>
      </c>
      <c r="AD16" s="54">
        <f t="shared" si="4"/>
        <v>8.2799999999999994</v>
      </c>
      <c r="AE16" s="55">
        <v>6.32</v>
      </c>
      <c r="AF16" s="55">
        <v>6.94</v>
      </c>
      <c r="AG16" s="54">
        <f t="shared" si="5"/>
        <v>13.260000000000002</v>
      </c>
      <c r="AH16" s="54">
        <f t="shared" si="6"/>
        <v>17.329999999999998</v>
      </c>
      <c r="AI16" s="54">
        <f t="shared" si="6"/>
        <v>13.620000000000001</v>
      </c>
      <c r="AJ16" s="54">
        <f t="shared" si="6"/>
        <v>30.95</v>
      </c>
      <c r="AK16" s="48" t="s">
        <v>211</v>
      </c>
      <c r="AL16" s="56">
        <v>1411.2</v>
      </c>
      <c r="AM16" s="56">
        <v>1232.4137500000002</v>
      </c>
      <c r="AN16" s="57">
        <f t="shared" si="7"/>
        <v>-178.78624999999988</v>
      </c>
      <c r="AO16" s="58" t="s">
        <v>212</v>
      </c>
      <c r="AP16" s="50">
        <v>2573</v>
      </c>
      <c r="AQ16" s="56">
        <v>4428.6119900000003</v>
      </c>
      <c r="AR16" s="50">
        <v>21110</v>
      </c>
      <c r="AS16" s="52" t="s">
        <v>213</v>
      </c>
      <c r="AT16" s="50">
        <v>0</v>
      </c>
      <c r="AU16" s="56">
        <v>0</v>
      </c>
      <c r="AV16" s="56">
        <v>0</v>
      </c>
      <c r="AW16" s="50">
        <v>0</v>
      </c>
      <c r="AX16" s="52" t="s">
        <v>213</v>
      </c>
      <c r="AY16" s="50">
        <v>15</v>
      </c>
      <c r="AZ16" s="56">
        <v>6.95</v>
      </c>
      <c r="BA16" s="50">
        <v>15</v>
      </c>
      <c r="BB16" s="52" t="s">
        <v>213</v>
      </c>
      <c r="BC16" s="50">
        <v>283</v>
      </c>
      <c r="BD16" s="50">
        <v>295</v>
      </c>
      <c r="BE16" s="51">
        <f t="shared" si="8"/>
        <v>578</v>
      </c>
      <c r="BF16" s="50">
        <v>507</v>
      </c>
      <c r="BG16" s="50">
        <v>71</v>
      </c>
      <c r="BH16" s="48" t="s">
        <v>210</v>
      </c>
      <c r="BI16" s="57">
        <f t="shared" si="9"/>
        <v>87.716262975778548</v>
      </c>
      <c r="BJ16" s="57">
        <f t="shared" si="9"/>
        <v>12.283737024221452</v>
      </c>
      <c r="BK16" s="57">
        <f t="shared" si="0"/>
        <v>48.961937716262973</v>
      </c>
      <c r="BL16" s="57">
        <f t="shared" si="0"/>
        <v>51.038062283737027</v>
      </c>
      <c r="BM16" s="50">
        <v>1048</v>
      </c>
      <c r="BN16" s="50">
        <v>1006</v>
      </c>
      <c r="BO16" s="50">
        <v>1043</v>
      </c>
      <c r="BP16" s="48" t="s">
        <v>210</v>
      </c>
      <c r="BQ16" s="56">
        <v>8.8000000000000007</v>
      </c>
      <c r="BR16" s="56">
        <v>33.6</v>
      </c>
      <c r="BS16" s="56">
        <v>11.4</v>
      </c>
      <c r="BT16" s="48" t="s">
        <v>214</v>
      </c>
      <c r="BU16" s="50">
        <v>120</v>
      </c>
      <c r="BV16" s="50">
        <v>134</v>
      </c>
      <c r="BW16" s="56">
        <v>1.3765997975233273</v>
      </c>
      <c r="BX16" s="50">
        <v>44</v>
      </c>
      <c r="BY16" s="50">
        <v>43</v>
      </c>
      <c r="BZ16" s="50">
        <v>87</v>
      </c>
      <c r="CA16" s="48" t="s">
        <v>210</v>
      </c>
      <c r="CB16" s="50">
        <v>314</v>
      </c>
      <c r="CC16" s="50">
        <v>331</v>
      </c>
      <c r="CD16" s="51">
        <f t="shared" si="10"/>
        <v>645</v>
      </c>
      <c r="CE16" s="52" t="s">
        <v>215</v>
      </c>
      <c r="CF16" s="56">
        <v>158.71</v>
      </c>
      <c r="CG16" s="56">
        <v>0</v>
      </c>
      <c r="CH16" s="56">
        <v>36.99</v>
      </c>
      <c r="CI16" s="56">
        <v>10.87</v>
      </c>
      <c r="CJ16" s="56">
        <v>2.78</v>
      </c>
      <c r="CK16" s="56">
        <v>5.66</v>
      </c>
      <c r="CL16" s="56">
        <v>0.26</v>
      </c>
      <c r="CM16" s="56">
        <v>1.32</v>
      </c>
      <c r="CN16" s="59">
        <v>2.85</v>
      </c>
      <c r="CO16" s="59">
        <v>0.43</v>
      </c>
      <c r="CP16" s="59">
        <v>0</v>
      </c>
      <c r="CQ16" s="55">
        <v>8.85</v>
      </c>
      <c r="CR16" s="55">
        <v>1.1399999999999999</v>
      </c>
      <c r="CS16" s="60" t="s">
        <v>216</v>
      </c>
      <c r="CT16" s="50">
        <v>248</v>
      </c>
      <c r="CU16" s="50">
        <v>8</v>
      </c>
      <c r="CV16" s="50">
        <v>12</v>
      </c>
      <c r="CW16" s="50">
        <v>4</v>
      </c>
      <c r="CX16" s="50">
        <v>11</v>
      </c>
      <c r="CY16" s="50">
        <v>68</v>
      </c>
      <c r="CZ16" s="50">
        <v>0</v>
      </c>
      <c r="DA16" s="50">
        <v>6</v>
      </c>
      <c r="DB16" s="50">
        <v>76</v>
      </c>
      <c r="DC16" s="60" t="s">
        <v>216</v>
      </c>
      <c r="DD16" s="56">
        <v>4.16</v>
      </c>
      <c r="DE16" s="56">
        <v>1.68</v>
      </c>
      <c r="DF16" s="56">
        <v>0.2</v>
      </c>
      <c r="DG16" s="56">
        <v>10.1</v>
      </c>
      <c r="DH16" s="56">
        <v>49.1</v>
      </c>
      <c r="DI16" s="60" t="s">
        <v>216</v>
      </c>
      <c r="DJ16" s="56">
        <v>162.9</v>
      </c>
      <c r="DK16" s="56">
        <v>112.78700000000001</v>
      </c>
      <c r="DL16" s="56">
        <v>68.278000000000006</v>
      </c>
      <c r="DM16" s="56">
        <v>357.21300000000002</v>
      </c>
      <c r="DN16" s="56">
        <v>3044.0929999999998</v>
      </c>
      <c r="DO16" s="56" t="s">
        <v>217</v>
      </c>
      <c r="DP16" s="56" t="s">
        <v>217</v>
      </c>
      <c r="DQ16" s="56" t="s">
        <v>217</v>
      </c>
      <c r="DR16" s="56" t="s">
        <v>217</v>
      </c>
      <c r="DS16" s="56">
        <v>104.6</v>
      </c>
      <c r="DT16" s="48" t="s">
        <v>213</v>
      </c>
      <c r="DU16" s="56">
        <v>50</v>
      </c>
      <c r="DV16" s="49">
        <v>7</v>
      </c>
      <c r="DW16" s="48" t="s">
        <v>213</v>
      </c>
      <c r="DX16" s="49">
        <v>533</v>
      </c>
      <c r="DY16" s="49">
        <v>47039</v>
      </c>
      <c r="DZ16" s="49">
        <v>11</v>
      </c>
      <c r="EA16" s="49">
        <v>272</v>
      </c>
      <c r="EB16" s="49">
        <v>31904</v>
      </c>
      <c r="EC16" s="49">
        <v>18</v>
      </c>
      <c r="ED16" s="49">
        <v>154</v>
      </c>
      <c r="EE16" s="49">
        <v>18440</v>
      </c>
      <c r="EF16" s="49">
        <v>15</v>
      </c>
      <c r="EG16" s="49">
        <v>46</v>
      </c>
      <c r="EH16" s="49">
        <v>11467</v>
      </c>
      <c r="EI16" s="49">
        <v>44</v>
      </c>
      <c r="EJ16" s="50">
        <v>38</v>
      </c>
      <c r="EK16" s="50">
        <v>16</v>
      </c>
      <c r="EL16" s="56">
        <v>64.400000000000006</v>
      </c>
      <c r="EM16" s="56">
        <v>43.2</v>
      </c>
      <c r="EN16" s="56">
        <v>53.5</v>
      </c>
      <c r="EO16" s="48" t="s">
        <v>213</v>
      </c>
      <c r="EP16" s="48" t="s">
        <v>210</v>
      </c>
      <c r="EQ16" s="50">
        <v>1</v>
      </c>
      <c r="ER16" s="50">
        <v>0</v>
      </c>
      <c r="ES16" s="50">
        <v>1</v>
      </c>
      <c r="ET16" s="50">
        <v>8</v>
      </c>
      <c r="EU16" s="50">
        <v>22</v>
      </c>
      <c r="EV16" s="50">
        <v>136</v>
      </c>
      <c r="EW16" s="50">
        <v>8</v>
      </c>
      <c r="EX16" s="50">
        <v>273</v>
      </c>
      <c r="EY16" s="50">
        <v>7</v>
      </c>
      <c r="EZ16" s="50">
        <v>6</v>
      </c>
      <c r="FA16" s="61">
        <v>45352</v>
      </c>
      <c r="FB16" s="50">
        <v>185</v>
      </c>
      <c r="FC16" s="50">
        <v>1499</v>
      </c>
      <c r="FD16" s="50">
        <v>68</v>
      </c>
      <c r="FE16" s="56">
        <v>3440.8851942909996</v>
      </c>
      <c r="FF16" s="56">
        <v>1598.5578795710398</v>
      </c>
      <c r="FG16" s="61">
        <v>45717</v>
      </c>
      <c r="FH16" s="50">
        <v>11</v>
      </c>
      <c r="FI16" s="49">
        <v>59</v>
      </c>
      <c r="FJ16" s="48" t="s">
        <v>213</v>
      </c>
      <c r="FK16" s="49">
        <v>167664</v>
      </c>
      <c r="FL16" s="49">
        <v>5454</v>
      </c>
      <c r="FM16" s="49">
        <v>9853</v>
      </c>
      <c r="FN16" s="49">
        <v>139274</v>
      </c>
      <c r="FO16" s="49">
        <v>7657</v>
      </c>
      <c r="FP16" s="49">
        <v>364483</v>
      </c>
      <c r="FQ16" s="48" t="s">
        <v>218</v>
      </c>
      <c r="FR16" s="53">
        <v>12.219999999999999</v>
      </c>
      <c r="FS16" s="53">
        <v>369.09</v>
      </c>
      <c r="FT16" s="53">
        <v>2.7800000000000002</v>
      </c>
      <c r="FU16" s="48" t="s">
        <v>213</v>
      </c>
      <c r="FV16" s="50">
        <v>6313</v>
      </c>
      <c r="FW16" s="50">
        <v>0</v>
      </c>
      <c r="FX16" s="51">
        <f t="shared" si="11"/>
        <v>6313</v>
      </c>
      <c r="FY16" s="50">
        <v>0</v>
      </c>
      <c r="FZ16" s="51">
        <f t="shared" si="12"/>
        <v>6313</v>
      </c>
      <c r="GA16" s="48" t="s">
        <v>213</v>
      </c>
      <c r="GB16" s="49">
        <v>6195</v>
      </c>
      <c r="GC16" s="53">
        <v>18490</v>
      </c>
      <c r="GD16" s="49">
        <v>6390</v>
      </c>
      <c r="GE16" s="49">
        <v>21498.36</v>
      </c>
      <c r="GF16" s="54">
        <f t="shared" si="13"/>
        <v>103.14769975786926</v>
      </c>
      <c r="GG16" s="54">
        <f t="shared" si="13"/>
        <v>116.27020010816658</v>
      </c>
      <c r="GH16" s="48" t="s">
        <v>219</v>
      </c>
    </row>
    <row r="17" spans="1:190" ht="21.6" x14ac:dyDescent="0.3">
      <c r="A17" s="48">
        <v>11</v>
      </c>
      <c r="B17" s="48">
        <v>2026</v>
      </c>
      <c r="C17" s="49" t="s">
        <v>229</v>
      </c>
      <c r="D17" s="50">
        <v>8206</v>
      </c>
      <c r="E17" s="49">
        <v>3</v>
      </c>
      <c r="F17" s="49">
        <v>23</v>
      </c>
      <c r="G17" s="49">
        <v>22</v>
      </c>
      <c r="H17" s="49">
        <v>0</v>
      </c>
      <c r="I17" s="49">
        <v>2</v>
      </c>
      <c r="J17" s="49">
        <v>16</v>
      </c>
      <c r="K17" s="49">
        <v>44</v>
      </c>
      <c r="L17" s="49">
        <v>503</v>
      </c>
      <c r="M17" s="49">
        <v>24</v>
      </c>
      <c r="N17" s="49">
        <v>13</v>
      </c>
      <c r="O17" s="50">
        <v>2783</v>
      </c>
      <c r="P17" s="50">
        <v>412</v>
      </c>
      <c r="Q17" s="51">
        <f t="shared" si="14"/>
        <v>3195</v>
      </c>
      <c r="R17" s="52" t="s">
        <v>210</v>
      </c>
      <c r="S17" s="53">
        <v>133.91999999999999</v>
      </c>
      <c r="T17" s="53">
        <v>2.67</v>
      </c>
      <c r="U17" s="54">
        <f t="shared" si="1"/>
        <v>136.58999999999997</v>
      </c>
      <c r="V17" s="53">
        <v>8.18</v>
      </c>
      <c r="W17" s="53">
        <v>0</v>
      </c>
      <c r="X17" s="54">
        <f t="shared" si="2"/>
        <v>8.18</v>
      </c>
      <c r="Y17" s="53">
        <v>104.57</v>
      </c>
      <c r="Z17" s="53">
        <v>3.1</v>
      </c>
      <c r="AA17" s="54">
        <f t="shared" si="3"/>
        <v>107.66999999999999</v>
      </c>
      <c r="AB17" s="53">
        <v>47.79</v>
      </c>
      <c r="AC17" s="53">
        <v>30.52</v>
      </c>
      <c r="AD17" s="54">
        <f t="shared" si="4"/>
        <v>78.31</v>
      </c>
      <c r="AE17" s="55">
        <v>0</v>
      </c>
      <c r="AF17" s="55">
        <v>19.57</v>
      </c>
      <c r="AG17" s="54">
        <f t="shared" si="5"/>
        <v>19.57</v>
      </c>
      <c r="AH17" s="54">
        <f t="shared" si="6"/>
        <v>294.45999999999998</v>
      </c>
      <c r="AI17" s="54">
        <f t="shared" si="6"/>
        <v>55.86</v>
      </c>
      <c r="AJ17" s="54">
        <f t="shared" si="6"/>
        <v>350.32</v>
      </c>
      <c r="AK17" s="48" t="s">
        <v>211</v>
      </c>
      <c r="AL17" s="56">
        <v>1311</v>
      </c>
      <c r="AM17" s="56">
        <v>1151.9454545454544</v>
      </c>
      <c r="AN17" s="57">
        <f t="shared" si="7"/>
        <v>-159.05454545454563</v>
      </c>
      <c r="AO17" s="58" t="s">
        <v>212</v>
      </c>
      <c r="AP17" s="50">
        <v>24571</v>
      </c>
      <c r="AQ17" s="56">
        <v>63392.682789999999</v>
      </c>
      <c r="AR17" s="50">
        <v>146261</v>
      </c>
      <c r="AS17" s="52" t="s">
        <v>213</v>
      </c>
      <c r="AT17" s="50">
        <v>552</v>
      </c>
      <c r="AU17" s="56">
        <v>37.119999999999997</v>
      </c>
      <c r="AV17" s="56">
        <v>2.14</v>
      </c>
      <c r="AW17" s="50">
        <v>1120</v>
      </c>
      <c r="AX17" s="52" t="s">
        <v>213</v>
      </c>
      <c r="AY17" s="50">
        <v>202</v>
      </c>
      <c r="AZ17" s="59" t="s">
        <v>230</v>
      </c>
      <c r="BA17" s="50">
        <v>275</v>
      </c>
      <c r="BB17" s="52" t="s">
        <v>213</v>
      </c>
      <c r="BC17" s="50">
        <v>1779</v>
      </c>
      <c r="BD17" s="50">
        <v>1750</v>
      </c>
      <c r="BE17" s="51">
        <f t="shared" si="8"/>
        <v>3529</v>
      </c>
      <c r="BF17" s="50">
        <v>2761</v>
      </c>
      <c r="BG17" s="50">
        <v>768</v>
      </c>
      <c r="BH17" s="48" t="s">
        <v>210</v>
      </c>
      <c r="BI17" s="57">
        <f t="shared" si="9"/>
        <v>78.237461037120994</v>
      </c>
      <c r="BJ17" s="57">
        <f t="shared" si="9"/>
        <v>21.762538962879002</v>
      </c>
      <c r="BK17" s="57">
        <f t="shared" si="0"/>
        <v>50.410881269481443</v>
      </c>
      <c r="BL17" s="57">
        <f t="shared" si="0"/>
        <v>49.589118730518564</v>
      </c>
      <c r="BM17" s="50">
        <v>995</v>
      </c>
      <c r="BN17" s="50">
        <v>941</v>
      </c>
      <c r="BO17" s="50">
        <v>983</v>
      </c>
      <c r="BP17" s="48" t="s">
        <v>210</v>
      </c>
      <c r="BQ17" s="56">
        <v>6</v>
      </c>
      <c r="BR17" s="56">
        <v>38</v>
      </c>
      <c r="BS17" s="56">
        <v>11.7</v>
      </c>
      <c r="BT17" s="48" t="s">
        <v>214</v>
      </c>
      <c r="BU17" s="50">
        <v>385</v>
      </c>
      <c r="BV17" s="50">
        <v>430</v>
      </c>
      <c r="BW17" s="56">
        <v>8.4076158369406677</v>
      </c>
      <c r="BX17" s="50">
        <v>220</v>
      </c>
      <c r="BY17" s="50">
        <v>200</v>
      </c>
      <c r="BZ17" s="50">
        <v>420</v>
      </c>
      <c r="CA17" s="48" t="s">
        <v>210</v>
      </c>
      <c r="CB17" s="50">
        <v>1982</v>
      </c>
      <c r="CC17" s="50">
        <v>1975</v>
      </c>
      <c r="CD17" s="51">
        <f t="shared" si="10"/>
        <v>3957</v>
      </c>
      <c r="CE17" s="52" t="s">
        <v>215</v>
      </c>
      <c r="CF17" s="56">
        <v>1552.59</v>
      </c>
      <c r="CG17" s="56">
        <v>0</v>
      </c>
      <c r="CH17" s="56">
        <v>124.88</v>
      </c>
      <c r="CI17" s="56">
        <v>31.28</v>
      </c>
      <c r="CJ17" s="56">
        <v>119.81</v>
      </c>
      <c r="CK17" s="56">
        <v>28.5</v>
      </c>
      <c r="CL17" s="56">
        <v>2.83</v>
      </c>
      <c r="CM17" s="56">
        <v>9.61</v>
      </c>
      <c r="CN17" s="59">
        <v>26.65</v>
      </c>
      <c r="CO17" s="59">
        <v>0.99</v>
      </c>
      <c r="CP17" s="59">
        <v>0</v>
      </c>
      <c r="CQ17" s="55">
        <v>13.17</v>
      </c>
      <c r="CR17" s="55">
        <v>14.3</v>
      </c>
      <c r="CS17" s="60" t="s">
        <v>216</v>
      </c>
      <c r="CT17" s="50">
        <v>307</v>
      </c>
      <c r="CU17" s="50">
        <v>22</v>
      </c>
      <c r="CV17" s="50">
        <v>20</v>
      </c>
      <c r="CW17" s="50">
        <v>11</v>
      </c>
      <c r="CX17" s="50">
        <v>25</v>
      </c>
      <c r="CY17" s="50">
        <v>24</v>
      </c>
      <c r="CZ17" s="50">
        <v>0</v>
      </c>
      <c r="DA17" s="50">
        <v>6</v>
      </c>
      <c r="DB17" s="50">
        <v>406</v>
      </c>
      <c r="DC17" s="60" t="s">
        <v>216</v>
      </c>
      <c r="DD17" s="56">
        <v>27.25</v>
      </c>
      <c r="DE17" s="56">
        <v>8.7899999999999991</v>
      </c>
      <c r="DF17" s="56">
        <v>1.84</v>
      </c>
      <c r="DG17" s="56">
        <v>50.11</v>
      </c>
      <c r="DH17" s="56">
        <v>55.63</v>
      </c>
      <c r="DI17" s="60" t="s">
        <v>216</v>
      </c>
      <c r="DJ17" s="56">
        <v>328.81</v>
      </c>
      <c r="DK17" s="56">
        <v>491.86900000000003</v>
      </c>
      <c r="DL17" s="56">
        <v>91.356999999999999</v>
      </c>
      <c r="DM17" s="56">
        <v>1398.6369999999999</v>
      </c>
      <c r="DN17" s="56">
        <v>6657.9870000000001</v>
      </c>
      <c r="DO17" s="56" t="s">
        <v>217</v>
      </c>
      <c r="DP17" s="56" t="s">
        <v>217</v>
      </c>
      <c r="DQ17" s="56" t="s">
        <v>217</v>
      </c>
      <c r="DR17" s="56" t="s">
        <v>217</v>
      </c>
      <c r="DS17" s="56">
        <v>501.5</v>
      </c>
      <c r="DT17" s="48" t="s">
        <v>213</v>
      </c>
      <c r="DU17" s="56">
        <v>86</v>
      </c>
      <c r="DV17" s="49">
        <v>11</v>
      </c>
      <c r="DW17" s="48" t="s">
        <v>213</v>
      </c>
      <c r="DX17" s="49">
        <v>1762</v>
      </c>
      <c r="DY17" s="49">
        <v>249351</v>
      </c>
      <c r="DZ17" s="49">
        <v>19</v>
      </c>
      <c r="EA17" s="49">
        <v>1290</v>
      </c>
      <c r="EB17" s="49">
        <v>164771</v>
      </c>
      <c r="EC17" s="49">
        <v>18</v>
      </c>
      <c r="ED17" s="49">
        <v>639</v>
      </c>
      <c r="EE17" s="49">
        <v>101379</v>
      </c>
      <c r="EF17" s="49">
        <v>19</v>
      </c>
      <c r="EG17" s="49">
        <v>196</v>
      </c>
      <c r="EH17" s="49">
        <v>74229</v>
      </c>
      <c r="EI17" s="49">
        <v>43</v>
      </c>
      <c r="EJ17" s="50">
        <v>150</v>
      </c>
      <c r="EK17" s="50">
        <v>68</v>
      </c>
      <c r="EL17" s="56">
        <v>81</v>
      </c>
      <c r="EM17" s="56">
        <v>61.1</v>
      </c>
      <c r="EN17" s="56">
        <v>71.099999999999994</v>
      </c>
      <c r="EO17" s="48" t="s">
        <v>213</v>
      </c>
      <c r="EP17" s="48" t="s">
        <v>210</v>
      </c>
      <c r="EQ17" s="50">
        <v>1</v>
      </c>
      <c r="ER17" s="50">
        <v>1</v>
      </c>
      <c r="ES17" s="50">
        <v>1</v>
      </c>
      <c r="ET17" s="50">
        <v>28</v>
      </c>
      <c r="EU17" s="50">
        <v>101</v>
      </c>
      <c r="EV17" s="50">
        <v>460</v>
      </c>
      <c r="EW17" s="50">
        <v>0</v>
      </c>
      <c r="EX17" s="50">
        <v>1967</v>
      </c>
      <c r="EY17" s="50">
        <v>49</v>
      </c>
      <c r="EZ17" s="50">
        <v>44</v>
      </c>
      <c r="FA17" s="61">
        <v>45352</v>
      </c>
      <c r="FB17" s="50">
        <v>710</v>
      </c>
      <c r="FC17" s="50">
        <v>2783</v>
      </c>
      <c r="FD17" s="50">
        <v>483</v>
      </c>
      <c r="FE17" s="56">
        <v>33005.320893693272</v>
      </c>
      <c r="FF17" s="56">
        <v>20942.394854725004</v>
      </c>
      <c r="FG17" s="61">
        <v>45717</v>
      </c>
      <c r="FH17" s="50">
        <v>38</v>
      </c>
      <c r="FI17" s="49">
        <v>265</v>
      </c>
      <c r="FJ17" s="48" t="s">
        <v>213</v>
      </c>
      <c r="FK17" s="49">
        <v>445913</v>
      </c>
      <c r="FL17" s="49">
        <v>46775</v>
      </c>
      <c r="FM17" s="49">
        <v>165614</v>
      </c>
      <c r="FN17" s="49">
        <v>235336</v>
      </c>
      <c r="FO17" s="49">
        <v>3784</v>
      </c>
      <c r="FP17" s="49">
        <v>2939024</v>
      </c>
      <c r="FQ17" s="48" t="s">
        <v>218</v>
      </c>
      <c r="FR17" s="53">
        <v>140.97</v>
      </c>
      <c r="FS17" s="53">
        <v>14999.6</v>
      </c>
      <c r="FT17" s="53">
        <v>22.259999999999998</v>
      </c>
      <c r="FU17" s="48" t="s">
        <v>213</v>
      </c>
      <c r="FV17" s="50">
        <v>76237</v>
      </c>
      <c r="FW17" s="50">
        <v>9085</v>
      </c>
      <c r="FX17" s="51">
        <f t="shared" si="11"/>
        <v>85322</v>
      </c>
      <c r="FY17" s="50">
        <v>25132</v>
      </c>
      <c r="FZ17" s="51">
        <f t="shared" si="12"/>
        <v>110454</v>
      </c>
      <c r="GA17" s="48" t="s">
        <v>213</v>
      </c>
      <c r="GB17" s="49">
        <v>31365</v>
      </c>
      <c r="GC17" s="53">
        <v>117000.01</v>
      </c>
      <c r="GD17" s="49">
        <v>35141</v>
      </c>
      <c r="GE17" s="49">
        <v>154010.84</v>
      </c>
      <c r="GF17" s="54">
        <f t="shared" si="13"/>
        <v>112.03889685955684</v>
      </c>
      <c r="GG17" s="54">
        <f t="shared" si="13"/>
        <v>131.63318533049699</v>
      </c>
      <c r="GH17" s="48" t="s">
        <v>219</v>
      </c>
    </row>
    <row r="18" spans="1:190" ht="21.6" x14ac:dyDescent="0.3">
      <c r="A18" s="48">
        <v>12</v>
      </c>
      <c r="B18" s="48">
        <v>2026</v>
      </c>
      <c r="C18" s="49" t="s">
        <v>231</v>
      </c>
      <c r="D18" s="50">
        <v>1668</v>
      </c>
      <c r="E18" s="49">
        <v>1</v>
      </c>
      <c r="F18" s="49">
        <v>8</v>
      </c>
      <c r="G18" s="49">
        <v>8</v>
      </c>
      <c r="H18" s="49">
        <v>0</v>
      </c>
      <c r="I18" s="49">
        <v>2</v>
      </c>
      <c r="J18" s="49">
        <v>0</v>
      </c>
      <c r="K18" s="49">
        <v>16</v>
      </c>
      <c r="L18" s="49">
        <v>198</v>
      </c>
      <c r="M18" s="49">
        <v>8</v>
      </c>
      <c r="N18" s="49">
        <v>4</v>
      </c>
      <c r="O18" s="50">
        <v>1223</v>
      </c>
      <c r="P18" s="50">
        <v>69</v>
      </c>
      <c r="Q18" s="51">
        <f t="shared" si="14"/>
        <v>1292</v>
      </c>
      <c r="R18" s="52" t="s">
        <v>210</v>
      </c>
      <c r="S18" s="53">
        <v>28.89</v>
      </c>
      <c r="T18" s="53">
        <v>3.26</v>
      </c>
      <c r="U18" s="54">
        <f t="shared" si="1"/>
        <v>32.15</v>
      </c>
      <c r="V18" s="53">
        <v>0</v>
      </c>
      <c r="W18" s="53">
        <v>0</v>
      </c>
      <c r="X18" s="54">
        <f t="shared" si="2"/>
        <v>0</v>
      </c>
      <c r="Y18" s="53">
        <v>0.34</v>
      </c>
      <c r="Z18" s="53">
        <v>0</v>
      </c>
      <c r="AA18" s="54">
        <f t="shared" si="3"/>
        <v>0.34</v>
      </c>
      <c r="AB18" s="53">
        <v>4.42</v>
      </c>
      <c r="AC18" s="53">
        <v>8.6999999999999993</v>
      </c>
      <c r="AD18" s="54">
        <f t="shared" si="4"/>
        <v>13.12</v>
      </c>
      <c r="AE18" s="55">
        <v>53.59</v>
      </c>
      <c r="AF18" s="55">
        <v>29.62</v>
      </c>
      <c r="AG18" s="54">
        <f t="shared" si="5"/>
        <v>83.210000000000008</v>
      </c>
      <c r="AH18" s="54">
        <f t="shared" si="6"/>
        <v>87.240000000000009</v>
      </c>
      <c r="AI18" s="54">
        <f t="shared" si="6"/>
        <v>41.58</v>
      </c>
      <c r="AJ18" s="54">
        <f t="shared" si="6"/>
        <v>128.82</v>
      </c>
      <c r="AK18" s="48" t="s">
        <v>211</v>
      </c>
      <c r="AL18" s="56">
        <v>1472.3</v>
      </c>
      <c r="AM18" s="56">
        <v>1503.7875000000001</v>
      </c>
      <c r="AN18" s="57">
        <f t="shared" si="7"/>
        <v>31.487500000000182</v>
      </c>
      <c r="AO18" s="58" t="s">
        <v>212</v>
      </c>
      <c r="AP18" s="50">
        <v>8282</v>
      </c>
      <c r="AQ18" s="56">
        <v>23656.526699999999</v>
      </c>
      <c r="AR18" s="50">
        <v>69747</v>
      </c>
      <c r="AS18" s="52" t="s">
        <v>213</v>
      </c>
      <c r="AT18" s="50">
        <v>441</v>
      </c>
      <c r="AU18" s="56">
        <v>172</v>
      </c>
      <c r="AV18" s="56">
        <v>1.35</v>
      </c>
      <c r="AW18" s="50">
        <v>885</v>
      </c>
      <c r="AX18" s="52" t="s">
        <v>213</v>
      </c>
      <c r="AY18" s="50">
        <v>382</v>
      </c>
      <c r="AZ18" s="56">
        <v>177.52</v>
      </c>
      <c r="BA18" s="50">
        <v>689</v>
      </c>
      <c r="BB18" s="52" t="s">
        <v>213</v>
      </c>
      <c r="BC18" s="50">
        <v>578</v>
      </c>
      <c r="BD18" s="50">
        <v>559</v>
      </c>
      <c r="BE18" s="51">
        <f t="shared" si="8"/>
        <v>1137</v>
      </c>
      <c r="BF18" s="50">
        <v>1021</v>
      </c>
      <c r="BG18" s="50">
        <v>116</v>
      </c>
      <c r="BH18" s="48" t="s">
        <v>210</v>
      </c>
      <c r="BI18" s="57">
        <f t="shared" si="9"/>
        <v>89.797713280562888</v>
      </c>
      <c r="BJ18" s="57">
        <f t="shared" si="9"/>
        <v>10.202286719437115</v>
      </c>
      <c r="BK18" s="57">
        <f t="shared" si="0"/>
        <v>50.83553210202286</v>
      </c>
      <c r="BL18" s="57">
        <f t="shared" si="0"/>
        <v>49.164467897977133</v>
      </c>
      <c r="BM18" s="50">
        <v>976</v>
      </c>
      <c r="BN18" s="50">
        <v>900</v>
      </c>
      <c r="BO18" s="50">
        <v>968</v>
      </c>
      <c r="BP18" s="48" t="s">
        <v>210</v>
      </c>
      <c r="BQ18" s="56">
        <v>7.1</v>
      </c>
      <c r="BR18" s="56">
        <v>11</v>
      </c>
      <c r="BS18" s="56">
        <v>7.5</v>
      </c>
      <c r="BT18" s="48" t="s">
        <v>214</v>
      </c>
      <c r="BU18" s="50">
        <v>634</v>
      </c>
      <c r="BV18" s="50">
        <v>682</v>
      </c>
      <c r="BW18" s="56">
        <v>2.7087365868257511</v>
      </c>
      <c r="BX18" s="50">
        <v>57</v>
      </c>
      <c r="BY18" s="50">
        <v>53</v>
      </c>
      <c r="BZ18" s="50">
        <v>110</v>
      </c>
      <c r="CA18" s="48" t="s">
        <v>210</v>
      </c>
      <c r="CB18" s="50">
        <v>646</v>
      </c>
      <c r="CC18" s="50">
        <v>630</v>
      </c>
      <c r="CD18" s="51">
        <f t="shared" si="10"/>
        <v>1276</v>
      </c>
      <c r="CE18" s="52" t="s">
        <v>215</v>
      </c>
      <c r="CF18" s="56">
        <v>386.74</v>
      </c>
      <c r="CG18" s="56">
        <v>0</v>
      </c>
      <c r="CH18" s="56">
        <v>0.34</v>
      </c>
      <c r="CI18" s="56">
        <v>0.14000000000000001</v>
      </c>
      <c r="CJ18" s="56">
        <v>22.29</v>
      </c>
      <c r="CK18" s="56">
        <v>5.04</v>
      </c>
      <c r="CL18" s="56">
        <v>0.5</v>
      </c>
      <c r="CM18" s="56">
        <v>0.05</v>
      </c>
      <c r="CN18" s="59">
        <v>4.57</v>
      </c>
      <c r="CO18" s="59">
        <v>0.56000000000000005</v>
      </c>
      <c r="CP18" s="59">
        <v>0.82</v>
      </c>
      <c r="CQ18" s="55">
        <v>9.99</v>
      </c>
      <c r="CR18" s="55">
        <v>14.47</v>
      </c>
      <c r="CS18" s="60" t="s">
        <v>216</v>
      </c>
      <c r="CT18" s="50">
        <v>5</v>
      </c>
      <c r="CU18" s="50">
        <v>4</v>
      </c>
      <c r="CV18" s="50">
        <v>7</v>
      </c>
      <c r="CW18" s="50">
        <v>6</v>
      </c>
      <c r="CX18" s="50">
        <v>17</v>
      </c>
      <c r="CY18" s="50">
        <v>17</v>
      </c>
      <c r="CZ18" s="50">
        <v>18</v>
      </c>
      <c r="DA18" s="50">
        <v>7</v>
      </c>
      <c r="DB18" s="50">
        <v>86</v>
      </c>
      <c r="DC18" s="60" t="s">
        <v>216</v>
      </c>
      <c r="DD18" s="56">
        <v>5.24</v>
      </c>
      <c r="DE18" s="56">
        <v>2.85</v>
      </c>
      <c r="DF18" s="56">
        <v>0.7</v>
      </c>
      <c r="DG18" s="56">
        <v>17.34</v>
      </c>
      <c r="DH18" s="56">
        <v>49.48</v>
      </c>
      <c r="DI18" s="60" t="s">
        <v>216</v>
      </c>
      <c r="DJ18" s="56">
        <v>102.33</v>
      </c>
      <c r="DK18" s="56">
        <v>60.561999999999998</v>
      </c>
      <c r="DL18" s="56">
        <v>34.911000000000001</v>
      </c>
      <c r="DM18" s="56">
        <v>313.41899999999998</v>
      </c>
      <c r="DN18" s="56">
        <v>2246.6840000000002</v>
      </c>
      <c r="DO18" s="56" t="s">
        <v>217</v>
      </c>
      <c r="DP18" s="56" t="s">
        <v>217</v>
      </c>
      <c r="DQ18" s="56" t="s">
        <v>217</v>
      </c>
      <c r="DR18" s="56" t="s">
        <v>217</v>
      </c>
      <c r="DS18" s="56">
        <v>0</v>
      </c>
      <c r="DT18" s="48" t="s">
        <v>213</v>
      </c>
      <c r="DU18" s="56">
        <v>90</v>
      </c>
      <c r="DV18" s="49">
        <v>14</v>
      </c>
      <c r="DW18" s="48" t="s">
        <v>213</v>
      </c>
      <c r="DX18" s="49">
        <v>533</v>
      </c>
      <c r="DY18" s="49">
        <v>67291</v>
      </c>
      <c r="DZ18" s="49">
        <v>16</v>
      </c>
      <c r="EA18" s="49">
        <v>521</v>
      </c>
      <c r="EB18" s="49">
        <v>46052</v>
      </c>
      <c r="EC18" s="49">
        <v>12</v>
      </c>
      <c r="ED18" s="49">
        <v>276</v>
      </c>
      <c r="EE18" s="49">
        <v>27811</v>
      </c>
      <c r="EF18" s="49">
        <v>13</v>
      </c>
      <c r="EG18" s="49">
        <v>70</v>
      </c>
      <c r="EH18" s="49">
        <v>20356</v>
      </c>
      <c r="EI18" s="49">
        <v>35</v>
      </c>
      <c r="EJ18" s="50">
        <v>60</v>
      </c>
      <c r="EK18" s="50">
        <v>30</v>
      </c>
      <c r="EL18" s="56">
        <v>92.4</v>
      </c>
      <c r="EM18" s="56">
        <v>80.599999999999994</v>
      </c>
      <c r="EN18" s="56">
        <v>86.6</v>
      </c>
      <c r="EO18" s="48" t="s">
        <v>213</v>
      </c>
      <c r="EP18" s="48" t="s">
        <v>210</v>
      </c>
      <c r="EQ18" s="50">
        <v>1</v>
      </c>
      <c r="ER18" s="50">
        <v>0</v>
      </c>
      <c r="ES18" s="50">
        <v>1</v>
      </c>
      <c r="ET18" s="50">
        <v>11</v>
      </c>
      <c r="EU18" s="50">
        <v>37</v>
      </c>
      <c r="EV18" s="50">
        <v>189</v>
      </c>
      <c r="EW18" s="50">
        <v>1</v>
      </c>
      <c r="EX18" s="50">
        <v>284</v>
      </c>
      <c r="EY18" s="50">
        <v>11</v>
      </c>
      <c r="EZ18" s="50">
        <v>17</v>
      </c>
      <c r="FA18" s="61">
        <v>45352</v>
      </c>
      <c r="FB18" s="50">
        <v>218</v>
      </c>
      <c r="FC18" s="50">
        <v>1223</v>
      </c>
      <c r="FD18" s="50">
        <v>176</v>
      </c>
      <c r="FE18" s="56">
        <v>14570.107914014001</v>
      </c>
      <c r="FF18" s="56">
        <v>9025.0022044997168</v>
      </c>
      <c r="FG18" s="61">
        <v>45717</v>
      </c>
      <c r="FH18" s="50">
        <v>13</v>
      </c>
      <c r="FI18" s="49">
        <v>101</v>
      </c>
      <c r="FJ18" s="48" t="s">
        <v>213</v>
      </c>
      <c r="FK18" s="49">
        <v>209978</v>
      </c>
      <c r="FL18" s="49">
        <v>10761</v>
      </c>
      <c r="FM18" s="49">
        <v>12101</v>
      </c>
      <c r="FN18" s="49">
        <v>107573</v>
      </c>
      <c r="FO18" s="49">
        <v>858</v>
      </c>
      <c r="FP18" s="49">
        <v>494937</v>
      </c>
      <c r="FQ18" s="48" t="s">
        <v>218</v>
      </c>
      <c r="FR18" s="53">
        <v>291.87</v>
      </c>
      <c r="FS18" s="53">
        <v>96.2</v>
      </c>
      <c r="FT18" s="53">
        <v>7.86</v>
      </c>
      <c r="FU18" s="48" t="s">
        <v>213</v>
      </c>
      <c r="FV18" s="50">
        <v>21636</v>
      </c>
      <c r="FW18" s="50">
        <v>22488</v>
      </c>
      <c r="FX18" s="51">
        <f t="shared" si="11"/>
        <v>44124</v>
      </c>
      <c r="FY18" s="50">
        <v>60669</v>
      </c>
      <c r="FZ18" s="51">
        <f t="shared" si="12"/>
        <v>104793</v>
      </c>
      <c r="GA18" s="48" t="s">
        <v>213</v>
      </c>
      <c r="GB18" s="49">
        <v>13990</v>
      </c>
      <c r="GC18" s="53">
        <v>56700</v>
      </c>
      <c r="GD18" s="49">
        <v>14051</v>
      </c>
      <c r="GE18" s="49">
        <v>57754.559999999998</v>
      </c>
      <c r="GF18" s="54">
        <f t="shared" si="13"/>
        <v>100.4360257326662</v>
      </c>
      <c r="GG18" s="54">
        <f t="shared" si="13"/>
        <v>101.85989417989418</v>
      </c>
      <c r="GH18" s="48" t="s">
        <v>219</v>
      </c>
    </row>
    <row r="19" spans="1:190" ht="21.6" x14ac:dyDescent="0.3">
      <c r="A19" s="48">
        <v>13</v>
      </c>
      <c r="B19" s="48">
        <v>2026</v>
      </c>
      <c r="C19" s="49" t="s">
        <v>232</v>
      </c>
      <c r="D19" s="50">
        <v>2899</v>
      </c>
      <c r="E19" s="49">
        <v>1</v>
      </c>
      <c r="F19" s="49">
        <v>10</v>
      </c>
      <c r="G19" s="49">
        <v>10</v>
      </c>
      <c r="H19" s="49">
        <v>0</v>
      </c>
      <c r="I19" s="49">
        <v>2</v>
      </c>
      <c r="J19" s="49">
        <v>0</v>
      </c>
      <c r="K19" s="49">
        <v>24</v>
      </c>
      <c r="L19" s="49">
        <v>311</v>
      </c>
      <c r="M19" s="49">
        <v>12</v>
      </c>
      <c r="N19" s="49">
        <v>7</v>
      </c>
      <c r="O19" s="50">
        <v>1598</v>
      </c>
      <c r="P19" s="50">
        <v>185</v>
      </c>
      <c r="Q19" s="51">
        <f t="shared" si="14"/>
        <v>1783</v>
      </c>
      <c r="R19" s="52" t="s">
        <v>210</v>
      </c>
      <c r="S19" s="53">
        <v>27.45</v>
      </c>
      <c r="T19" s="53">
        <v>4.74</v>
      </c>
      <c r="U19" s="54">
        <f t="shared" si="1"/>
        <v>32.19</v>
      </c>
      <c r="V19" s="53">
        <v>10.25</v>
      </c>
      <c r="W19" s="53">
        <v>1.27</v>
      </c>
      <c r="X19" s="54">
        <f t="shared" si="2"/>
        <v>11.52</v>
      </c>
      <c r="Y19" s="53">
        <v>8.6199999999999992</v>
      </c>
      <c r="Z19" s="53">
        <v>2.0699999999999998</v>
      </c>
      <c r="AA19" s="54">
        <f t="shared" si="3"/>
        <v>10.69</v>
      </c>
      <c r="AB19" s="53">
        <v>37.450000000000003</v>
      </c>
      <c r="AC19" s="53">
        <v>20.329999999999998</v>
      </c>
      <c r="AD19" s="54">
        <f t="shared" si="4"/>
        <v>57.78</v>
      </c>
      <c r="AE19" s="55">
        <v>3.11</v>
      </c>
      <c r="AF19" s="55">
        <v>18.760000000000002</v>
      </c>
      <c r="AG19" s="54">
        <f t="shared" si="5"/>
        <v>21.87</v>
      </c>
      <c r="AH19" s="54">
        <f t="shared" si="6"/>
        <v>86.88000000000001</v>
      </c>
      <c r="AI19" s="54">
        <f t="shared" si="6"/>
        <v>47.17</v>
      </c>
      <c r="AJ19" s="54">
        <f t="shared" si="6"/>
        <v>134.04999999999998</v>
      </c>
      <c r="AK19" s="48" t="s">
        <v>211</v>
      </c>
      <c r="AL19" s="56">
        <v>1608.2</v>
      </c>
      <c r="AM19" s="56">
        <v>1388.8279999999995</v>
      </c>
      <c r="AN19" s="57">
        <f t="shared" si="7"/>
        <v>-219.37200000000053</v>
      </c>
      <c r="AO19" s="58" t="s">
        <v>212</v>
      </c>
      <c r="AP19" s="50">
        <v>11587</v>
      </c>
      <c r="AQ19" s="56">
        <v>31267.760149999998</v>
      </c>
      <c r="AR19" s="50">
        <v>76282</v>
      </c>
      <c r="AS19" s="52" t="s">
        <v>213</v>
      </c>
      <c r="AT19" s="50">
        <v>2191</v>
      </c>
      <c r="AU19" s="56">
        <v>71</v>
      </c>
      <c r="AV19" s="56">
        <v>14.46</v>
      </c>
      <c r="AW19" s="50">
        <v>4330</v>
      </c>
      <c r="AX19" s="52" t="s">
        <v>213</v>
      </c>
      <c r="AY19" s="50">
        <v>550</v>
      </c>
      <c r="AZ19" s="56">
        <v>80.349999999999994</v>
      </c>
      <c r="BA19" s="50">
        <v>589</v>
      </c>
      <c r="BB19" s="52" t="s">
        <v>213</v>
      </c>
      <c r="BC19" s="50">
        <v>926</v>
      </c>
      <c r="BD19" s="50">
        <v>901</v>
      </c>
      <c r="BE19" s="51">
        <f t="shared" si="8"/>
        <v>1827</v>
      </c>
      <c r="BF19" s="50">
        <v>1692</v>
      </c>
      <c r="BG19" s="50">
        <v>135</v>
      </c>
      <c r="BH19" s="48" t="s">
        <v>210</v>
      </c>
      <c r="BI19" s="57">
        <f t="shared" si="9"/>
        <v>92.610837438423644</v>
      </c>
      <c r="BJ19" s="57">
        <f t="shared" si="9"/>
        <v>7.389162561576355</v>
      </c>
      <c r="BK19" s="57">
        <f t="shared" si="0"/>
        <v>50.684181718664476</v>
      </c>
      <c r="BL19" s="57">
        <f t="shared" si="0"/>
        <v>49.315818281335524</v>
      </c>
      <c r="BM19" s="50">
        <v>976</v>
      </c>
      <c r="BN19" s="50">
        <v>944</v>
      </c>
      <c r="BO19" s="50">
        <v>973</v>
      </c>
      <c r="BP19" s="48" t="s">
        <v>210</v>
      </c>
      <c r="BQ19" s="56">
        <v>9.1</v>
      </c>
      <c r="BR19" s="56">
        <v>85.1</v>
      </c>
      <c r="BS19" s="56">
        <v>12.5</v>
      </c>
      <c r="BT19" s="48" t="s">
        <v>214</v>
      </c>
      <c r="BU19" s="50">
        <v>560</v>
      </c>
      <c r="BV19" s="50">
        <v>630</v>
      </c>
      <c r="BW19" s="56">
        <v>4.3531293423977546</v>
      </c>
      <c r="BX19" s="50">
        <v>113</v>
      </c>
      <c r="BY19" s="50">
        <v>104</v>
      </c>
      <c r="BZ19" s="50">
        <v>217</v>
      </c>
      <c r="CA19" s="48" t="s">
        <v>210</v>
      </c>
      <c r="CB19" s="50">
        <v>1032</v>
      </c>
      <c r="CC19" s="50">
        <v>1015</v>
      </c>
      <c r="CD19" s="51">
        <f t="shared" si="10"/>
        <v>2047</v>
      </c>
      <c r="CE19" s="52" t="s">
        <v>215</v>
      </c>
      <c r="CF19" s="56">
        <v>542.45000000000005</v>
      </c>
      <c r="CG19" s="56">
        <v>0.02</v>
      </c>
      <c r="CH19" s="56">
        <v>6.24</v>
      </c>
      <c r="CI19" s="56">
        <v>0.24</v>
      </c>
      <c r="CJ19" s="56">
        <v>18.43</v>
      </c>
      <c r="CK19" s="56">
        <v>13.83</v>
      </c>
      <c r="CL19" s="56">
        <v>3.86</v>
      </c>
      <c r="CM19" s="56">
        <v>0.15</v>
      </c>
      <c r="CN19" s="59">
        <v>39.729999999999997</v>
      </c>
      <c r="CO19" s="59">
        <v>0.71</v>
      </c>
      <c r="CP19" s="59">
        <v>9.98</v>
      </c>
      <c r="CQ19" s="55">
        <v>17.16</v>
      </c>
      <c r="CR19" s="55">
        <v>153.03</v>
      </c>
      <c r="CS19" s="60" t="s">
        <v>216</v>
      </c>
      <c r="CT19" s="50">
        <v>32</v>
      </c>
      <c r="CU19" s="50">
        <v>4</v>
      </c>
      <c r="CV19" s="50">
        <v>4</v>
      </c>
      <c r="CW19" s="50">
        <v>4</v>
      </c>
      <c r="CX19" s="50">
        <v>71</v>
      </c>
      <c r="CY19" s="50">
        <v>25</v>
      </c>
      <c r="CZ19" s="50">
        <v>0</v>
      </c>
      <c r="DA19" s="50">
        <v>5</v>
      </c>
      <c r="DB19" s="50">
        <v>145</v>
      </c>
      <c r="DC19" s="60" t="s">
        <v>216</v>
      </c>
      <c r="DD19" s="56">
        <v>9.56</v>
      </c>
      <c r="DE19" s="56">
        <v>5.62</v>
      </c>
      <c r="DF19" s="56">
        <v>1.63</v>
      </c>
      <c r="DG19" s="56">
        <v>36.130000000000003</v>
      </c>
      <c r="DH19" s="56">
        <v>67.87</v>
      </c>
      <c r="DI19" s="60" t="s">
        <v>216</v>
      </c>
      <c r="DJ19" s="56">
        <v>212.44</v>
      </c>
      <c r="DK19" s="56">
        <v>31.067</v>
      </c>
      <c r="DL19" s="56">
        <v>56.593000000000004</v>
      </c>
      <c r="DM19" s="56">
        <v>1260.5129999999999</v>
      </c>
      <c r="DN19" s="56">
        <v>3398.5709999999999</v>
      </c>
      <c r="DO19" s="56" t="s">
        <v>217</v>
      </c>
      <c r="DP19" s="56" t="s">
        <v>217</v>
      </c>
      <c r="DQ19" s="56" t="s">
        <v>217</v>
      </c>
      <c r="DR19" s="56" t="s">
        <v>217</v>
      </c>
      <c r="DS19" s="56">
        <v>42</v>
      </c>
      <c r="DT19" s="48" t="s">
        <v>213</v>
      </c>
      <c r="DU19" s="56">
        <v>165</v>
      </c>
      <c r="DV19" s="49">
        <v>21</v>
      </c>
      <c r="DW19" s="48" t="s">
        <v>213</v>
      </c>
      <c r="DX19" s="49">
        <v>1000</v>
      </c>
      <c r="DY19" s="49">
        <v>143968</v>
      </c>
      <c r="DZ19" s="49">
        <v>19</v>
      </c>
      <c r="EA19" s="49">
        <v>929</v>
      </c>
      <c r="EB19" s="49">
        <v>92330</v>
      </c>
      <c r="EC19" s="49">
        <v>15</v>
      </c>
      <c r="ED19" s="49">
        <v>474</v>
      </c>
      <c r="EE19" s="49">
        <v>56646</v>
      </c>
      <c r="EF19" s="49">
        <v>15</v>
      </c>
      <c r="EG19" s="49">
        <v>129</v>
      </c>
      <c r="EH19" s="49">
        <v>43093</v>
      </c>
      <c r="EI19" s="49">
        <v>37</v>
      </c>
      <c r="EJ19" s="50">
        <v>119</v>
      </c>
      <c r="EK19" s="50">
        <v>62</v>
      </c>
      <c r="EL19" s="56">
        <v>86.8</v>
      </c>
      <c r="EM19" s="56">
        <v>73.3</v>
      </c>
      <c r="EN19" s="56">
        <v>80.099999999999994</v>
      </c>
      <c r="EO19" s="48" t="s">
        <v>213</v>
      </c>
      <c r="EP19" s="48" t="s">
        <v>210</v>
      </c>
      <c r="EQ19" s="50">
        <v>1</v>
      </c>
      <c r="ER19" s="50">
        <v>1</v>
      </c>
      <c r="ES19" s="50">
        <v>1</v>
      </c>
      <c r="ET19" s="50">
        <v>12</v>
      </c>
      <c r="EU19" s="50">
        <v>66</v>
      </c>
      <c r="EV19" s="50">
        <v>260</v>
      </c>
      <c r="EW19" s="50">
        <v>1</v>
      </c>
      <c r="EX19" s="50">
        <v>452</v>
      </c>
      <c r="EY19" s="50">
        <v>25</v>
      </c>
      <c r="EZ19" s="50">
        <v>21</v>
      </c>
      <c r="FA19" s="61">
        <v>45352</v>
      </c>
      <c r="FB19" s="50">
        <v>315</v>
      </c>
      <c r="FC19" s="50">
        <v>1598</v>
      </c>
      <c r="FD19" s="50">
        <v>241</v>
      </c>
      <c r="FE19" s="56">
        <v>16729.816720617819</v>
      </c>
      <c r="FF19" s="56">
        <v>14284.143607242275</v>
      </c>
      <c r="FG19" s="61">
        <v>45717</v>
      </c>
      <c r="FH19" s="50">
        <v>19</v>
      </c>
      <c r="FI19" s="49">
        <v>126</v>
      </c>
      <c r="FJ19" s="48" t="s">
        <v>213</v>
      </c>
      <c r="FK19" s="49">
        <v>478510</v>
      </c>
      <c r="FL19" s="49">
        <v>3895</v>
      </c>
      <c r="FM19" s="49">
        <v>10098</v>
      </c>
      <c r="FN19" s="49">
        <v>186456</v>
      </c>
      <c r="FO19" s="49">
        <v>4443</v>
      </c>
      <c r="FP19" s="49">
        <v>328773</v>
      </c>
      <c r="FQ19" s="48" t="s">
        <v>218</v>
      </c>
      <c r="FR19" s="53">
        <v>185.56</v>
      </c>
      <c r="FS19" s="53">
        <v>581.49</v>
      </c>
      <c r="FT19" s="53">
        <v>12.23</v>
      </c>
      <c r="FU19" s="48" t="s">
        <v>213</v>
      </c>
      <c r="FV19" s="50">
        <v>28801</v>
      </c>
      <c r="FW19" s="50">
        <v>0</v>
      </c>
      <c r="FX19" s="51">
        <f t="shared" si="11"/>
        <v>28801</v>
      </c>
      <c r="FY19" s="50">
        <v>0</v>
      </c>
      <c r="FZ19" s="51">
        <f t="shared" si="12"/>
        <v>28801</v>
      </c>
      <c r="GA19" s="48" t="s">
        <v>213</v>
      </c>
      <c r="GB19" s="49">
        <v>19500</v>
      </c>
      <c r="GC19" s="53">
        <v>79470</v>
      </c>
      <c r="GD19" s="49">
        <v>20089</v>
      </c>
      <c r="GE19" s="49">
        <v>84330.64</v>
      </c>
      <c r="GF19" s="54">
        <f t="shared" si="13"/>
        <v>103.02051282051281</v>
      </c>
      <c r="GG19" s="54">
        <f t="shared" si="13"/>
        <v>106.1163206241349</v>
      </c>
      <c r="GH19" s="48" t="s">
        <v>219</v>
      </c>
    </row>
    <row r="20" spans="1:190" ht="21.6" x14ac:dyDescent="0.3">
      <c r="A20" s="48">
        <v>14</v>
      </c>
      <c r="B20" s="48">
        <v>2026</v>
      </c>
      <c r="C20" s="49" t="s">
        <v>233</v>
      </c>
      <c r="D20" s="50">
        <v>2114</v>
      </c>
      <c r="E20" s="49">
        <v>1</v>
      </c>
      <c r="F20" s="49">
        <v>5</v>
      </c>
      <c r="G20" s="49">
        <v>5</v>
      </c>
      <c r="H20" s="49">
        <v>0</v>
      </c>
      <c r="I20" s="49">
        <v>3</v>
      </c>
      <c r="J20" s="49">
        <v>0</v>
      </c>
      <c r="K20" s="49">
        <v>13</v>
      </c>
      <c r="L20" s="49">
        <v>78</v>
      </c>
      <c r="M20" s="49">
        <v>6</v>
      </c>
      <c r="N20" s="49">
        <v>2</v>
      </c>
      <c r="O20" s="50">
        <v>347</v>
      </c>
      <c r="P20" s="50">
        <v>4</v>
      </c>
      <c r="Q20" s="51">
        <f t="shared" si="14"/>
        <v>351</v>
      </c>
      <c r="R20" s="52" t="s">
        <v>210</v>
      </c>
      <c r="S20" s="53">
        <v>0.03</v>
      </c>
      <c r="T20" s="53">
        <v>0</v>
      </c>
      <c r="U20" s="54">
        <f t="shared" si="1"/>
        <v>0.03</v>
      </c>
      <c r="V20" s="53">
        <v>1.99</v>
      </c>
      <c r="W20" s="53">
        <v>0.59</v>
      </c>
      <c r="X20" s="54">
        <f t="shared" si="2"/>
        <v>2.58</v>
      </c>
      <c r="Y20" s="53">
        <v>0.08</v>
      </c>
      <c r="Z20" s="53">
        <v>0.33</v>
      </c>
      <c r="AA20" s="54">
        <f t="shared" si="3"/>
        <v>0.41000000000000003</v>
      </c>
      <c r="AB20" s="53">
        <v>7.23</v>
      </c>
      <c r="AC20" s="53">
        <v>7.52</v>
      </c>
      <c r="AD20" s="54">
        <f t="shared" si="4"/>
        <v>14.75</v>
      </c>
      <c r="AE20" s="55">
        <v>2.85</v>
      </c>
      <c r="AF20" s="55">
        <v>7.45</v>
      </c>
      <c r="AG20" s="54">
        <f t="shared" si="5"/>
        <v>10.3</v>
      </c>
      <c r="AH20" s="54">
        <f t="shared" si="6"/>
        <v>12.18</v>
      </c>
      <c r="AI20" s="54">
        <f t="shared" si="6"/>
        <v>15.89</v>
      </c>
      <c r="AJ20" s="54">
        <f t="shared" si="6"/>
        <v>28.07</v>
      </c>
      <c r="AK20" s="48" t="s">
        <v>211</v>
      </c>
      <c r="AL20" s="56">
        <v>1353.2</v>
      </c>
      <c r="AM20" s="56">
        <v>1059.26</v>
      </c>
      <c r="AN20" s="57">
        <f t="shared" si="7"/>
        <v>-293.94000000000005</v>
      </c>
      <c r="AO20" s="58" t="s">
        <v>212</v>
      </c>
      <c r="AP20" s="50">
        <v>4579</v>
      </c>
      <c r="AQ20" s="56">
        <v>15609.03923</v>
      </c>
      <c r="AR20" s="50">
        <v>23732</v>
      </c>
      <c r="AS20" s="52" t="s">
        <v>213</v>
      </c>
      <c r="AT20" s="50">
        <v>195</v>
      </c>
      <c r="AU20" s="56">
        <v>7</v>
      </c>
      <c r="AV20" s="56">
        <v>0.09</v>
      </c>
      <c r="AW20" s="50">
        <v>235</v>
      </c>
      <c r="AX20" s="52" t="s">
        <v>213</v>
      </c>
      <c r="AY20" s="50">
        <v>65</v>
      </c>
      <c r="AZ20" s="56">
        <v>7.48</v>
      </c>
      <c r="BA20" s="50">
        <v>260</v>
      </c>
      <c r="BB20" s="52" t="s">
        <v>213</v>
      </c>
      <c r="BC20" s="50">
        <v>297</v>
      </c>
      <c r="BD20" s="50">
        <v>283</v>
      </c>
      <c r="BE20" s="51">
        <f t="shared" si="8"/>
        <v>580</v>
      </c>
      <c r="BF20" s="50">
        <v>349</v>
      </c>
      <c r="BG20" s="50">
        <v>231</v>
      </c>
      <c r="BH20" s="48" t="s">
        <v>210</v>
      </c>
      <c r="BI20" s="57">
        <f t="shared" si="9"/>
        <v>60.172413793103452</v>
      </c>
      <c r="BJ20" s="57">
        <f t="shared" si="9"/>
        <v>39.827586206896555</v>
      </c>
      <c r="BK20" s="57">
        <f t="shared" si="0"/>
        <v>51.206896551724135</v>
      </c>
      <c r="BL20" s="57">
        <f t="shared" si="0"/>
        <v>48.793103448275858</v>
      </c>
      <c r="BM20" s="50">
        <v>977</v>
      </c>
      <c r="BN20" s="50">
        <v>918</v>
      </c>
      <c r="BO20" s="50">
        <v>953</v>
      </c>
      <c r="BP20" s="48" t="s">
        <v>210</v>
      </c>
      <c r="BQ20" s="56">
        <v>5.9</v>
      </c>
      <c r="BR20" s="56">
        <v>24.4</v>
      </c>
      <c r="BS20" s="56">
        <v>12.6</v>
      </c>
      <c r="BT20" s="48" t="s">
        <v>214</v>
      </c>
      <c r="BU20" s="50">
        <v>244</v>
      </c>
      <c r="BV20" s="50">
        <v>274</v>
      </c>
      <c r="BW20" s="56">
        <v>1.3806213137788534</v>
      </c>
      <c r="BX20" s="50">
        <v>33</v>
      </c>
      <c r="BY20" s="50">
        <v>32</v>
      </c>
      <c r="BZ20" s="50">
        <v>65</v>
      </c>
      <c r="CA20" s="48" t="s">
        <v>210</v>
      </c>
      <c r="CB20" s="50">
        <v>329</v>
      </c>
      <c r="CC20" s="50">
        <v>317</v>
      </c>
      <c r="CD20" s="51">
        <f t="shared" si="10"/>
        <v>646</v>
      </c>
      <c r="CE20" s="52" t="s">
        <v>215</v>
      </c>
      <c r="CF20" s="56">
        <v>104.68</v>
      </c>
      <c r="CG20" s="56">
        <v>0.33</v>
      </c>
      <c r="CH20" s="56">
        <v>5.59</v>
      </c>
      <c r="CI20" s="56">
        <v>2.99</v>
      </c>
      <c r="CJ20" s="56">
        <v>3.15</v>
      </c>
      <c r="CK20" s="56">
        <v>0.87</v>
      </c>
      <c r="CL20" s="56">
        <v>1.61</v>
      </c>
      <c r="CM20" s="56">
        <v>1.35</v>
      </c>
      <c r="CN20" s="59">
        <v>1.92</v>
      </c>
      <c r="CO20" s="59">
        <v>3.19</v>
      </c>
      <c r="CP20" s="59">
        <v>0</v>
      </c>
      <c r="CQ20" s="55">
        <v>21.23</v>
      </c>
      <c r="CR20" s="55">
        <v>1.84</v>
      </c>
      <c r="CS20" s="60" t="s">
        <v>216</v>
      </c>
      <c r="CT20" s="50">
        <v>45</v>
      </c>
      <c r="CU20" s="50">
        <v>6</v>
      </c>
      <c r="CV20" s="50">
        <v>20</v>
      </c>
      <c r="CW20" s="50">
        <v>15</v>
      </c>
      <c r="CX20" s="50">
        <v>24</v>
      </c>
      <c r="CY20" s="50">
        <v>7</v>
      </c>
      <c r="CZ20" s="50">
        <v>24</v>
      </c>
      <c r="DA20" s="50">
        <v>3</v>
      </c>
      <c r="DB20" s="50">
        <v>64</v>
      </c>
      <c r="DC20" s="60" t="s">
        <v>216</v>
      </c>
      <c r="DD20" s="56">
        <v>4.05</v>
      </c>
      <c r="DE20" s="56">
        <v>1.93</v>
      </c>
      <c r="DF20" s="56">
        <v>0.44</v>
      </c>
      <c r="DG20" s="56">
        <v>28.21</v>
      </c>
      <c r="DH20" s="56">
        <v>71.22</v>
      </c>
      <c r="DI20" s="60" t="s">
        <v>216</v>
      </c>
      <c r="DJ20" s="56">
        <v>105.45</v>
      </c>
      <c r="DK20" s="56">
        <v>26.75</v>
      </c>
      <c r="DL20" s="56">
        <v>3.996</v>
      </c>
      <c r="DM20" s="56">
        <v>1026.3499999999999</v>
      </c>
      <c r="DN20" s="56">
        <v>1016.11</v>
      </c>
      <c r="DO20" s="56" t="s">
        <v>217</v>
      </c>
      <c r="DP20" s="56" t="s">
        <v>217</v>
      </c>
      <c r="DQ20" s="56" t="s">
        <v>217</v>
      </c>
      <c r="DR20" s="56" t="s">
        <v>217</v>
      </c>
      <c r="DS20" s="56">
        <v>23</v>
      </c>
      <c r="DT20" s="48" t="s">
        <v>213</v>
      </c>
      <c r="DU20" s="56">
        <v>106</v>
      </c>
      <c r="DV20" s="49">
        <v>13</v>
      </c>
      <c r="DW20" s="48" t="s">
        <v>213</v>
      </c>
      <c r="DX20" s="49">
        <v>306</v>
      </c>
      <c r="DY20" s="49">
        <v>40966</v>
      </c>
      <c r="DZ20" s="49">
        <v>13</v>
      </c>
      <c r="EA20" s="49">
        <v>276</v>
      </c>
      <c r="EB20" s="49">
        <v>27035</v>
      </c>
      <c r="EC20" s="49">
        <v>16</v>
      </c>
      <c r="ED20" s="49">
        <v>128</v>
      </c>
      <c r="EE20" s="49">
        <v>16678</v>
      </c>
      <c r="EF20" s="49">
        <v>14</v>
      </c>
      <c r="EG20" s="49">
        <v>52</v>
      </c>
      <c r="EH20" s="49">
        <v>9632</v>
      </c>
      <c r="EI20" s="49">
        <v>27</v>
      </c>
      <c r="EJ20" s="50">
        <v>34</v>
      </c>
      <c r="EK20" s="50">
        <v>10</v>
      </c>
      <c r="EL20" s="56">
        <v>86.6</v>
      </c>
      <c r="EM20" s="56">
        <v>70.7</v>
      </c>
      <c r="EN20" s="56">
        <v>78.900000000000006</v>
      </c>
      <c r="EO20" s="48" t="s">
        <v>213</v>
      </c>
      <c r="EP20" s="48" t="s">
        <v>210</v>
      </c>
      <c r="EQ20" s="50">
        <v>1</v>
      </c>
      <c r="ER20" s="50">
        <v>0</v>
      </c>
      <c r="ES20" s="50">
        <v>1</v>
      </c>
      <c r="ET20" s="50">
        <v>6</v>
      </c>
      <c r="EU20" s="50">
        <v>20</v>
      </c>
      <c r="EV20" s="50">
        <v>66</v>
      </c>
      <c r="EW20" s="50">
        <v>1</v>
      </c>
      <c r="EX20" s="50">
        <v>234</v>
      </c>
      <c r="EY20" s="50">
        <v>9</v>
      </c>
      <c r="EZ20" s="50">
        <v>8</v>
      </c>
      <c r="FA20" s="61">
        <v>45352</v>
      </c>
      <c r="FB20" s="50">
        <v>118</v>
      </c>
      <c r="FC20" s="50">
        <v>347</v>
      </c>
      <c r="FD20" s="50">
        <v>109</v>
      </c>
      <c r="FE20" s="56">
        <v>8829.4868387028382</v>
      </c>
      <c r="FF20" s="56">
        <v>17199.526187591786</v>
      </c>
      <c r="FG20" s="61">
        <v>45717</v>
      </c>
      <c r="FH20" s="50">
        <v>9</v>
      </c>
      <c r="FI20" s="49">
        <v>37</v>
      </c>
      <c r="FJ20" s="48" t="s">
        <v>213</v>
      </c>
      <c r="FK20" s="49">
        <v>95638</v>
      </c>
      <c r="FL20" s="49">
        <v>1524</v>
      </c>
      <c r="FM20" s="49">
        <v>6956</v>
      </c>
      <c r="FN20" s="49">
        <v>57052</v>
      </c>
      <c r="FO20" s="49">
        <v>1330</v>
      </c>
      <c r="FP20" s="49">
        <v>142920</v>
      </c>
      <c r="FQ20" s="48" t="s">
        <v>218</v>
      </c>
      <c r="FR20" s="53">
        <v>12.58</v>
      </c>
      <c r="FS20" s="53">
        <v>63.609999999999992</v>
      </c>
      <c r="FT20" s="53">
        <v>2.91</v>
      </c>
      <c r="FU20" s="48" t="s">
        <v>213</v>
      </c>
      <c r="FV20" s="50">
        <v>14523</v>
      </c>
      <c r="FW20" s="50">
        <v>0</v>
      </c>
      <c r="FX20" s="51">
        <f t="shared" si="11"/>
        <v>14523</v>
      </c>
      <c r="FY20" s="50">
        <v>0</v>
      </c>
      <c r="FZ20" s="51">
        <f t="shared" si="12"/>
        <v>14523</v>
      </c>
      <c r="GA20" s="48" t="s">
        <v>213</v>
      </c>
      <c r="GB20" s="49">
        <v>4805</v>
      </c>
      <c r="GC20" s="53">
        <v>17275.28</v>
      </c>
      <c r="GD20" s="49">
        <v>5163</v>
      </c>
      <c r="GE20" s="49">
        <v>17469.03</v>
      </c>
      <c r="GF20" s="54">
        <f t="shared" si="13"/>
        <v>107.45057232049948</v>
      </c>
      <c r="GG20" s="54">
        <f t="shared" si="13"/>
        <v>101.12154477380395</v>
      </c>
      <c r="GH20" s="48" t="s">
        <v>219</v>
      </c>
    </row>
    <row r="21" spans="1:190" ht="21.6" x14ac:dyDescent="0.3">
      <c r="A21" s="48">
        <v>15</v>
      </c>
      <c r="B21" s="48">
        <v>2026</v>
      </c>
      <c r="C21" s="49" t="s">
        <v>234</v>
      </c>
      <c r="D21" s="50">
        <v>7920</v>
      </c>
      <c r="E21" s="49">
        <v>2</v>
      </c>
      <c r="F21" s="49">
        <v>13</v>
      </c>
      <c r="G21" s="49">
        <v>13</v>
      </c>
      <c r="H21" s="49">
        <v>2</v>
      </c>
      <c r="I21" s="49">
        <v>1</v>
      </c>
      <c r="J21" s="49">
        <v>3</v>
      </c>
      <c r="K21" s="49">
        <v>20</v>
      </c>
      <c r="L21" s="49">
        <v>310</v>
      </c>
      <c r="M21" s="49">
        <v>13</v>
      </c>
      <c r="N21" s="49">
        <v>5</v>
      </c>
      <c r="O21" s="50">
        <v>2116</v>
      </c>
      <c r="P21" s="50">
        <v>137</v>
      </c>
      <c r="Q21" s="51">
        <f t="shared" si="14"/>
        <v>2253</v>
      </c>
      <c r="R21" s="52" t="s">
        <v>210</v>
      </c>
      <c r="S21" s="53">
        <v>89.8</v>
      </c>
      <c r="T21" s="53">
        <v>55.92</v>
      </c>
      <c r="U21" s="54">
        <f t="shared" si="1"/>
        <v>145.72</v>
      </c>
      <c r="V21" s="53">
        <v>26.38</v>
      </c>
      <c r="W21" s="53">
        <v>0.12</v>
      </c>
      <c r="X21" s="54">
        <f t="shared" si="2"/>
        <v>26.5</v>
      </c>
      <c r="Y21" s="53">
        <v>11.32</v>
      </c>
      <c r="Z21" s="53">
        <v>2.19</v>
      </c>
      <c r="AA21" s="54">
        <f t="shared" si="3"/>
        <v>13.51</v>
      </c>
      <c r="AB21" s="53">
        <v>28.83</v>
      </c>
      <c r="AC21" s="53">
        <v>24.6</v>
      </c>
      <c r="AD21" s="54">
        <f t="shared" si="4"/>
        <v>53.43</v>
      </c>
      <c r="AE21" s="55">
        <v>30.64</v>
      </c>
      <c r="AF21" s="55">
        <v>31.51</v>
      </c>
      <c r="AG21" s="54">
        <f t="shared" si="5"/>
        <v>62.150000000000006</v>
      </c>
      <c r="AH21" s="54">
        <f t="shared" si="6"/>
        <v>186.96999999999997</v>
      </c>
      <c r="AI21" s="54">
        <f t="shared" si="6"/>
        <v>114.34</v>
      </c>
      <c r="AJ21" s="54">
        <f t="shared" si="6"/>
        <v>301.31</v>
      </c>
      <c r="AK21" s="48" t="s">
        <v>211</v>
      </c>
      <c r="AL21" s="56">
        <v>1596.2</v>
      </c>
      <c r="AM21" s="56">
        <v>1370.5538461538461</v>
      </c>
      <c r="AN21" s="57">
        <f t="shared" si="7"/>
        <v>-225.64615384615399</v>
      </c>
      <c r="AO21" s="58" t="s">
        <v>212</v>
      </c>
      <c r="AP21" s="50">
        <v>7216</v>
      </c>
      <c r="AQ21" s="56">
        <v>14696.864729999999</v>
      </c>
      <c r="AR21" s="50">
        <v>86576</v>
      </c>
      <c r="AS21" s="52" t="s">
        <v>213</v>
      </c>
      <c r="AT21" s="50">
        <v>165</v>
      </c>
      <c r="AU21" s="56">
        <v>11</v>
      </c>
      <c r="AV21" s="56">
        <v>1.7</v>
      </c>
      <c r="AW21" s="50">
        <v>230</v>
      </c>
      <c r="AX21" s="52" t="s">
        <v>213</v>
      </c>
      <c r="AY21" s="50">
        <v>120</v>
      </c>
      <c r="AZ21" s="56">
        <v>21.75</v>
      </c>
      <c r="BA21" s="50">
        <v>120</v>
      </c>
      <c r="BB21" s="52" t="s">
        <v>213</v>
      </c>
      <c r="BC21" s="50">
        <v>787</v>
      </c>
      <c r="BD21" s="50">
        <v>790</v>
      </c>
      <c r="BE21" s="51">
        <f t="shared" si="8"/>
        <v>1577</v>
      </c>
      <c r="BF21" s="50">
        <v>1455</v>
      </c>
      <c r="BG21" s="50">
        <v>122</v>
      </c>
      <c r="BH21" s="48" t="s">
        <v>210</v>
      </c>
      <c r="BI21" s="57">
        <f t="shared" si="9"/>
        <v>92.263792010145849</v>
      </c>
      <c r="BJ21" s="57">
        <f t="shared" si="9"/>
        <v>7.7362079898541536</v>
      </c>
      <c r="BK21" s="57">
        <f t="shared" si="0"/>
        <v>49.90488268864933</v>
      </c>
      <c r="BL21" s="57">
        <f t="shared" si="0"/>
        <v>50.09511731135067</v>
      </c>
      <c r="BM21" s="50">
        <v>1008</v>
      </c>
      <c r="BN21" s="50">
        <v>953</v>
      </c>
      <c r="BO21" s="50">
        <v>1003</v>
      </c>
      <c r="BP21" s="48" t="s">
        <v>210</v>
      </c>
      <c r="BQ21" s="56">
        <v>17.8</v>
      </c>
      <c r="BR21" s="56">
        <v>21.7</v>
      </c>
      <c r="BS21" s="56">
        <v>18.100000000000001</v>
      </c>
      <c r="BT21" s="48" t="s">
        <v>214</v>
      </c>
      <c r="BU21" s="50">
        <v>169</v>
      </c>
      <c r="BV21" s="50">
        <v>199</v>
      </c>
      <c r="BW21" s="56">
        <v>3.7567561115730612</v>
      </c>
      <c r="BX21" s="50">
        <v>114</v>
      </c>
      <c r="BY21" s="50">
        <v>109</v>
      </c>
      <c r="BZ21" s="50">
        <v>223</v>
      </c>
      <c r="CA21" s="48" t="s">
        <v>210</v>
      </c>
      <c r="CB21" s="50">
        <v>871</v>
      </c>
      <c r="CC21" s="50">
        <v>884</v>
      </c>
      <c r="CD21" s="51">
        <f t="shared" si="10"/>
        <v>1755</v>
      </c>
      <c r="CE21" s="52" t="s">
        <v>215</v>
      </c>
      <c r="CF21" s="56">
        <v>1355.45</v>
      </c>
      <c r="CG21" s="56">
        <v>0</v>
      </c>
      <c r="CH21" s="56">
        <v>79.459999999999994</v>
      </c>
      <c r="CI21" s="56">
        <v>17.88</v>
      </c>
      <c r="CJ21" s="56">
        <v>96.97</v>
      </c>
      <c r="CK21" s="56">
        <v>20.64</v>
      </c>
      <c r="CL21" s="56">
        <v>18.37</v>
      </c>
      <c r="CM21" s="56">
        <v>1.22</v>
      </c>
      <c r="CN21" s="59">
        <v>26.79</v>
      </c>
      <c r="CO21" s="59">
        <v>8.51</v>
      </c>
      <c r="CP21" s="59">
        <v>0</v>
      </c>
      <c r="CQ21" s="55">
        <v>9.08</v>
      </c>
      <c r="CR21" s="55">
        <v>33.340000000000003</v>
      </c>
      <c r="CS21" s="60" t="s">
        <v>216</v>
      </c>
      <c r="CT21" s="50">
        <v>285</v>
      </c>
      <c r="CU21" s="50">
        <v>8</v>
      </c>
      <c r="CV21" s="50">
        <v>23</v>
      </c>
      <c r="CW21" s="50">
        <v>21</v>
      </c>
      <c r="CX21" s="50">
        <v>29</v>
      </c>
      <c r="CY21" s="50">
        <v>32</v>
      </c>
      <c r="CZ21" s="50">
        <v>0</v>
      </c>
      <c r="DA21" s="50">
        <v>16</v>
      </c>
      <c r="DB21" s="50">
        <v>378</v>
      </c>
      <c r="DC21" s="60" t="s">
        <v>216</v>
      </c>
      <c r="DD21" s="56">
        <v>33.42</v>
      </c>
      <c r="DE21" s="56">
        <v>14.87</v>
      </c>
      <c r="DF21" s="56">
        <v>3.95</v>
      </c>
      <c r="DG21" s="56">
        <v>104.46</v>
      </c>
      <c r="DH21" s="56">
        <v>80.89</v>
      </c>
      <c r="DI21" s="60" t="s">
        <v>216</v>
      </c>
      <c r="DJ21" s="56">
        <v>206.85</v>
      </c>
      <c r="DK21" s="56">
        <v>237.93299999999999</v>
      </c>
      <c r="DL21" s="56">
        <v>187.73699999999999</v>
      </c>
      <c r="DM21" s="56">
        <v>897.91399999999999</v>
      </c>
      <c r="DN21" s="56">
        <v>4641.0129999999999</v>
      </c>
      <c r="DO21" s="56" t="s">
        <v>217</v>
      </c>
      <c r="DP21" s="56" t="s">
        <v>217</v>
      </c>
      <c r="DQ21" s="56" t="s">
        <v>217</v>
      </c>
      <c r="DR21" s="56" t="s">
        <v>217</v>
      </c>
      <c r="DS21" s="56">
        <v>311</v>
      </c>
      <c r="DT21" s="48" t="s">
        <v>213</v>
      </c>
      <c r="DU21" s="56">
        <v>88</v>
      </c>
      <c r="DV21" s="49">
        <v>11</v>
      </c>
      <c r="DW21" s="48" t="s">
        <v>213</v>
      </c>
      <c r="DX21" s="49">
        <v>1356</v>
      </c>
      <c r="DY21" s="49">
        <v>133730</v>
      </c>
      <c r="DZ21" s="49">
        <v>17</v>
      </c>
      <c r="EA21" s="49">
        <v>776</v>
      </c>
      <c r="EB21" s="49">
        <v>80391</v>
      </c>
      <c r="EC21" s="49">
        <v>17</v>
      </c>
      <c r="ED21" s="49">
        <v>321</v>
      </c>
      <c r="EE21" s="49">
        <v>47725</v>
      </c>
      <c r="EF21" s="49">
        <v>16</v>
      </c>
      <c r="EG21" s="49">
        <v>127</v>
      </c>
      <c r="EH21" s="49">
        <v>32823</v>
      </c>
      <c r="EI21" s="49">
        <v>39</v>
      </c>
      <c r="EJ21" s="50">
        <v>119</v>
      </c>
      <c r="EK21" s="50">
        <v>35</v>
      </c>
      <c r="EL21" s="56">
        <v>71.900000000000006</v>
      </c>
      <c r="EM21" s="56">
        <v>46.7</v>
      </c>
      <c r="EN21" s="56">
        <v>59.2</v>
      </c>
      <c r="EO21" s="48" t="s">
        <v>213</v>
      </c>
      <c r="EP21" s="48" t="s">
        <v>210</v>
      </c>
      <c r="EQ21" s="50">
        <v>1</v>
      </c>
      <c r="ER21" s="50">
        <v>1</v>
      </c>
      <c r="ES21" s="50">
        <v>1</v>
      </c>
      <c r="ET21" s="50">
        <v>17</v>
      </c>
      <c r="EU21" s="50">
        <v>46</v>
      </c>
      <c r="EV21" s="50">
        <v>242</v>
      </c>
      <c r="EW21" s="50">
        <v>19</v>
      </c>
      <c r="EX21" s="50">
        <v>589</v>
      </c>
      <c r="EY21" s="50">
        <v>20</v>
      </c>
      <c r="EZ21" s="50">
        <v>18</v>
      </c>
      <c r="FA21" s="61">
        <v>45352</v>
      </c>
      <c r="FB21" s="50">
        <v>414</v>
      </c>
      <c r="FC21" s="50">
        <v>2116</v>
      </c>
      <c r="FD21" s="50">
        <v>178</v>
      </c>
      <c r="FE21" s="56">
        <v>7252.6761048010003</v>
      </c>
      <c r="FF21" s="56">
        <v>8050.8453306540023</v>
      </c>
      <c r="FG21" s="61">
        <v>45717</v>
      </c>
      <c r="FH21" s="50">
        <v>21</v>
      </c>
      <c r="FI21" s="49">
        <v>137</v>
      </c>
      <c r="FJ21" s="48" t="s">
        <v>213</v>
      </c>
      <c r="FK21" s="49">
        <v>284533</v>
      </c>
      <c r="FL21" s="49">
        <v>21432</v>
      </c>
      <c r="FM21" s="49">
        <v>80834</v>
      </c>
      <c r="FN21" s="49">
        <v>257495</v>
      </c>
      <c r="FO21" s="49">
        <v>2283</v>
      </c>
      <c r="FP21" s="49">
        <v>812278</v>
      </c>
      <c r="FQ21" s="48" t="s">
        <v>218</v>
      </c>
      <c r="FR21" s="53">
        <v>99.759999999999991</v>
      </c>
      <c r="FS21" s="53">
        <v>1025</v>
      </c>
      <c r="FT21" s="53">
        <v>3.75</v>
      </c>
      <c r="FU21" s="48" t="s">
        <v>213</v>
      </c>
      <c r="FV21" s="50">
        <v>33670</v>
      </c>
      <c r="FW21" s="50">
        <v>0</v>
      </c>
      <c r="FX21" s="51">
        <f t="shared" si="11"/>
        <v>33670</v>
      </c>
      <c r="FY21" s="50">
        <v>0</v>
      </c>
      <c r="FZ21" s="51">
        <f t="shared" si="12"/>
        <v>33670</v>
      </c>
      <c r="GA21" s="48" t="s">
        <v>213</v>
      </c>
      <c r="GB21" s="49">
        <v>9985</v>
      </c>
      <c r="GC21" s="53">
        <v>30130</v>
      </c>
      <c r="GD21" s="49">
        <v>11239</v>
      </c>
      <c r="GE21" s="49">
        <v>31420.28</v>
      </c>
      <c r="GF21" s="54">
        <f t="shared" si="13"/>
        <v>112.55883825738609</v>
      </c>
      <c r="GG21" s="54">
        <f t="shared" si="13"/>
        <v>104.28237636906736</v>
      </c>
      <c r="GH21" s="48" t="s">
        <v>219</v>
      </c>
    </row>
    <row r="22" spans="1:190" ht="21.6" x14ac:dyDescent="0.3">
      <c r="A22" s="48">
        <v>16</v>
      </c>
      <c r="B22" s="48">
        <v>2026</v>
      </c>
      <c r="C22" s="49" t="s">
        <v>235</v>
      </c>
      <c r="D22" s="50">
        <v>8021</v>
      </c>
      <c r="E22" s="49">
        <v>2</v>
      </c>
      <c r="F22" s="49">
        <v>12</v>
      </c>
      <c r="G22" s="49">
        <v>12</v>
      </c>
      <c r="H22" s="49">
        <v>12</v>
      </c>
      <c r="I22" s="49">
        <v>1</v>
      </c>
      <c r="J22" s="49">
        <v>2</v>
      </c>
      <c r="K22" s="49">
        <v>19</v>
      </c>
      <c r="L22" s="49">
        <v>171</v>
      </c>
      <c r="M22" s="49">
        <v>12</v>
      </c>
      <c r="N22" s="49">
        <v>3</v>
      </c>
      <c r="O22" s="50">
        <v>2417</v>
      </c>
      <c r="P22" s="50">
        <v>170</v>
      </c>
      <c r="Q22" s="51">
        <f t="shared" si="14"/>
        <v>2587</v>
      </c>
      <c r="R22" s="52" t="s">
        <v>210</v>
      </c>
      <c r="S22" s="53">
        <v>1.1599999999999999</v>
      </c>
      <c r="T22" s="53">
        <v>0.53</v>
      </c>
      <c r="U22" s="54">
        <f t="shared" si="1"/>
        <v>1.69</v>
      </c>
      <c r="V22" s="53">
        <v>0</v>
      </c>
      <c r="W22" s="53">
        <v>0</v>
      </c>
      <c r="X22" s="54">
        <f t="shared" si="2"/>
        <v>0</v>
      </c>
      <c r="Y22" s="53">
        <v>3.75</v>
      </c>
      <c r="Z22" s="53">
        <v>1.43</v>
      </c>
      <c r="AA22" s="54">
        <f t="shared" si="3"/>
        <v>5.18</v>
      </c>
      <c r="AB22" s="53">
        <v>6.16</v>
      </c>
      <c r="AC22" s="53">
        <v>2.9699999999999998</v>
      </c>
      <c r="AD22" s="54">
        <f t="shared" si="4"/>
        <v>9.129999999999999</v>
      </c>
      <c r="AE22" s="55">
        <v>9.25</v>
      </c>
      <c r="AF22" s="55">
        <v>10.76</v>
      </c>
      <c r="AG22" s="54">
        <f t="shared" si="5"/>
        <v>20.009999999999998</v>
      </c>
      <c r="AH22" s="54">
        <f t="shared" si="6"/>
        <v>20.32</v>
      </c>
      <c r="AI22" s="54">
        <f t="shared" si="6"/>
        <v>15.69</v>
      </c>
      <c r="AJ22" s="54">
        <f t="shared" si="6"/>
        <v>36.01</v>
      </c>
      <c r="AK22" s="48" t="s">
        <v>211</v>
      </c>
      <c r="AL22" s="56">
        <v>1620.9</v>
      </c>
      <c r="AM22" s="56">
        <v>1208.7666666666669</v>
      </c>
      <c r="AN22" s="57">
        <f t="shared" si="7"/>
        <v>-412.13333333333321</v>
      </c>
      <c r="AO22" s="58" t="s">
        <v>212</v>
      </c>
      <c r="AP22" s="50">
        <v>3264</v>
      </c>
      <c r="AQ22" s="56">
        <v>12199.266159999999</v>
      </c>
      <c r="AR22" s="50">
        <v>21082</v>
      </c>
      <c r="AS22" s="52" t="s">
        <v>213</v>
      </c>
      <c r="AT22" s="50">
        <v>38</v>
      </c>
      <c r="AU22" s="56">
        <v>7.8</v>
      </c>
      <c r="AV22" s="56">
        <v>0.01</v>
      </c>
      <c r="AW22" s="50">
        <v>45</v>
      </c>
      <c r="AX22" s="52" t="s">
        <v>213</v>
      </c>
      <c r="AY22" s="50">
        <v>63</v>
      </c>
      <c r="AZ22" s="56">
        <v>13.68</v>
      </c>
      <c r="BA22" s="50">
        <v>63</v>
      </c>
      <c r="BB22" s="52" t="s">
        <v>213</v>
      </c>
      <c r="BC22" s="50">
        <v>360</v>
      </c>
      <c r="BD22" s="50">
        <v>373</v>
      </c>
      <c r="BE22" s="51">
        <f t="shared" si="8"/>
        <v>733</v>
      </c>
      <c r="BF22" s="50">
        <v>661</v>
      </c>
      <c r="BG22" s="50">
        <v>72</v>
      </c>
      <c r="BH22" s="48" t="s">
        <v>210</v>
      </c>
      <c r="BI22" s="57">
        <f t="shared" si="9"/>
        <v>90.177353342428376</v>
      </c>
      <c r="BJ22" s="57">
        <f t="shared" si="9"/>
        <v>9.8226466575716245</v>
      </c>
      <c r="BK22" s="57">
        <f t="shared" si="0"/>
        <v>49.113233287858115</v>
      </c>
      <c r="BL22" s="57">
        <f t="shared" si="0"/>
        <v>50.886766712141885</v>
      </c>
      <c r="BM22" s="50">
        <v>1043</v>
      </c>
      <c r="BN22" s="50">
        <v>984</v>
      </c>
      <c r="BO22" s="50">
        <v>1037</v>
      </c>
      <c r="BP22" s="48" t="s">
        <v>210</v>
      </c>
      <c r="BQ22" s="56">
        <v>9.4</v>
      </c>
      <c r="BR22" s="56">
        <v>63.9</v>
      </c>
      <c r="BS22" s="56">
        <v>13.1</v>
      </c>
      <c r="BT22" s="48" t="s">
        <v>214</v>
      </c>
      <c r="BU22" s="50">
        <v>81</v>
      </c>
      <c r="BV22" s="50">
        <v>91</v>
      </c>
      <c r="BW22" s="56">
        <v>1.7465721457872068</v>
      </c>
      <c r="BX22" s="50">
        <v>56</v>
      </c>
      <c r="BY22" s="50">
        <v>54</v>
      </c>
      <c r="BZ22" s="50">
        <v>110</v>
      </c>
      <c r="CA22" s="48" t="s">
        <v>210</v>
      </c>
      <c r="CB22" s="50">
        <v>402</v>
      </c>
      <c r="CC22" s="50">
        <v>420</v>
      </c>
      <c r="CD22" s="51">
        <f t="shared" si="10"/>
        <v>822</v>
      </c>
      <c r="CE22" s="52" t="s">
        <v>215</v>
      </c>
      <c r="CF22" s="56">
        <v>121.73</v>
      </c>
      <c r="CG22" s="56">
        <v>0</v>
      </c>
      <c r="CH22" s="56">
        <v>62.05</v>
      </c>
      <c r="CI22" s="56">
        <v>6.39</v>
      </c>
      <c r="CJ22" s="56">
        <v>0.9</v>
      </c>
      <c r="CK22" s="56">
        <v>3.7</v>
      </c>
      <c r="CL22" s="56">
        <v>5.39</v>
      </c>
      <c r="CM22" s="56">
        <v>0.2</v>
      </c>
      <c r="CN22" s="59">
        <v>2.19</v>
      </c>
      <c r="CO22" s="59">
        <v>6.85</v>
      </c>
      <c r="CP22" s="59">
        <v>0</v>
      </c>
      <c r="CQ22" s="55">
        <v>27.89</v>
      </c>
      <c r="CR22" s="55">
        <v>0</v>
      </c>
      <c r="CS22" s="60" t="s">
        <v>216</v>
      </c>
      <c r="CT22" s="50">
        <v>586</v>
      </c>
      <c r="CU22" s="50">
        <v>34</v>
      </c>
      <c r="CV22" s="50">
        <v>10</v>
      </c>
      <c r="CW22" s="50">
        <v>14</v>
      </c>
      <c r="CX22" s="50">
        <v>4</v>
      </c>
      <c r="CY22" s="50">
        <v>20</v>
      </c>
      <c r="CZ22" s="50">
        <v>9</v>
      </c>
      <c r="DA22" s="50">
        <v>6</v>
      </c>
      <c r="DB22" s="50">
        <v>119</v>
      </c>
      <c r="DC22" s="60" t="s">
        <v>216</v>
      </c>
      <c r="DD22" s="56">
        <v>1.21</v>
      </c>
      <c r="DE22" s="56">
        <v>1.26</v>
      </c>
      <c r="DF22" s="56">
        <v>0.21</v>
      </c>
      <c r="DG22" s="56">
        <v>23.41</v>
      </c>
      <c r="DH22" s="56">
        <v>15.05</v>
      </c>
      <c r="DI22" s="60" t="s">
        <v>216</v>
      </c>
      <c r="DJ22" s="56">
        <v>238.87</v>
      </c>
      <c r="DK22" s="56">
        <v>201.81800000000001</v>
      </c>
      <c r="DL22" s="56">
        <v>76.980999999999995</v>
      </c>
      <c r="DM22" s="56">
        <v>542.58399999999995</v>
      </c>
      <c r="DN22" s="56">
        <v>3254.971</v>
      </c>
      <c r="DO22" s="56" t="s">
        <v>217</v>
      </c>
      <c r="DP22" s="56" t="s">
        <v>217</v>
      </c>
      <c r="DQ22" s="56" t="s">
        <v>217</v>
      </c>
      <c r="DR22" s="56" t="s">
        <v>217</v>
      </c>
      <c r="DS22" s="56">
        <v>332.18</v>
      </c>
      <c r="DT22" s="48" t="s">
        <v>213</v>
      </c>
      <c r="DU22" s="56">
        <v>0</v>
      </c>
      <c r="DV22" s="49">
        <v>0</v>
      </c>
      <c r="DW22" s="48" t="s">
        <v>213</v>
      </c>
      <c r="DX22" s="49">
        <v>917</v>
      </c>
      <c r="DY22" s="49">
        <v>68634</v>
      </c>
      <c r="DZ22" s="49">
        <v>12</v>
      </c>
      <c r="EA22" s="49">
        <v>631</v>
      </c>
      <c r="EB22" s="49">
        <v>45365</v>
      </c>
      <c r="EC22" s="49">
        <v>15</v>
      </c>
      <c r="ED22" s="49">
        <v>211</v>
      </c>
      <c r="EE22" s="49">
        <v>25758</v>
      </c>
      <c r="EF22" s="49">
        <v>17</v>
      </c>
      <c r="EG22" s="49">
        <v>60</v>
      </c>
      <c r="EH22" s="49">
        <v>18001</v>
      </c>
      <c r="EI22" s="49">
        <v>51</v>
      </c>
      <c r="EJ22" s="50">
        <v>55</v>
      </c>
      <c r="EK22" s="50">
        <v>21</v>
      </c>
      <c r="EL22" s="56">
        <v>76.900000000000006</v>
      </c>
      <c r="EM22" s="56">
        <v>51.9</v>
      </c>
      <c r="EN22" s="56">
        <v>64.099999999999994</v>
      </c>
      <c r="EO22" s="48" t="s">
        <v>213</v>
      </c>
      <c r="EP22" s="48" t="s">
        <v>210</v>
      </c>
      <c r="EQ22" s="50">
        <v>1</v>
      </c>
      <c r="ER22" s="50">
        <v>1</v>
      </c>
      <c r="ES22" s="50">
        <v>1</v>
      </c>
      <c r="ET22" s="50">
        <v>14</v>
      </c>
      <c r="EU22" s="50">
        <v>41</v>
      </c>
      <c r="EV22" s="50">
        <v>172</v>
      </c>
      <c r="EW22" s="50">
        <v>17</v>
      </c>
      <c r="EX22" s="50">
        <v>488</v>
      </c>
      <c r="EY22" s="50">
        <v>17</v>
      </c>
      <c r="EZ22" s="50">
        <v>19</v>
      </c>
      <c r="FA22" s="61">
        <v>45352</v>
      </c>
      <c r="FB22" s="50">
        <v>286</v>
      </c>
      <c r="FC22" s="50">
        <v>2417</v>
      </c>
      <c r="FD22" s="50">
        <v>81</v>
      </c>
      <c r="FE22" s="56">
        <v>3718.7929529620001</v>
      </c>
      <c r="FF22" s="56">
        <v>2134.2333861005441</v>
      </c>
      <c r="FG22" s="61">
        <v>45717</v>
      </c>
      <c r="FH22" s="50">
        <v>20</v>
      </c>
      <c r="FI22" s="49">
        <v>93</v>
      </c>
      <c r="FJ22" s="48" t="s">
        <v>213</v>
      </c>
      <c r="FK22" s="49">
        <v>261008</v>
      </c>
      <c r="FL22" s="49">
        <v>48739</v>
      </c>
      <c r="FM22" s="49">
        <v>6803</v>
      </c>
      <c r="FN22" s="49">
        <v>269391</v>
      </c>
      <c r="FO22" s="49">
        <v>5627</v>
      </c>
      <c r="FP22" s="49">
        <v>473199</v>
      </c>
      <c r="FQ22" s="48" t="s">
        <v>218</v>
      </c>
      <c r="FR22" s="53">
        <v>4.2299999999999995</v>
      </c>
      <c r="FS22" s="53">
        <v>221.68999999999997</v>
      </c>
      <c r="FT22" s="53">
        <v>2.73</v>
      </c>
      <c r="FU22" s="48" t="s">
        <v>213</v>
      </c>
      <c r="FV22" s="50">
        <v>1891</v>
      </c>
      <c r="FW22" s="50">
        <v>0</v>
      </c>
      <c r="FX22" s="51">
        <f t="shared" si="11"/>
        <v>1891</v>
      </c>
      <c r="FY22" s="50">
        <v>0</v>
      </c>
      <c r="FZ22" s="51">
        <f t="shared" si="12"/>
        <v>1891</v>
      </c>
      <c r="GA22" s="48" t="s">
        <v>213</v>
      </c>
      <c r="GB22" s="49">
        <v>7645</v>
      </c>
      <c r="GC22" s="53">
        <v>24765</v>
      </c>
      <c r="GD22" s="49">
        <v>8003</v>
      </c>
      <c r="GE22" s="49">
        <v>24777.71</v>
      </c>
      <c r="GF22" s="54">
        <f t="shared" si="13"/>
        <v>104.68279921517332</v>
      </c>
      <c r="GG22" s="54">
        <f t="shared" si="13"/>
        <v>100.05132243084998</v>
      </c>
      <c r="GH22" s="48" t="s">
        <v>219</v>
      </c>
    </row>
    <row r="23" spans="1:190" ht="21.6" x14ac:dyDescent="0.3">
      <c r="A23" s="48">
        <v>17</v>
      </c>
      <c r="B23" s="48">
        <v>2026</v>
      </c>
      <c r="C23" s="49" t="s">
        <v>236</v>
      </c>
      <c r="D23" s="50">
        <v>2644</v>
      </c>
      <c r="E23" s="49">
        <v>1</v>
      </c>
      <c r="F23" s="49">
        <v>9</v>
      </c>
      <c r="G23" s="49">
        <v>9</v>
      </c>
      <c r="H23" s="49">
        <v>0</v>
      </c>
      <c r="I23" s="49">
        <v>2</v>
      </c>
      <c r="J23" s="49">
        <v>0</v>
      </c>
      <c r="K23" s="49">
        <v>17</v>
      </c>
      <c r="L23" s="49">
        <v>249</v>
      </c>
      <c r="M23" s="49">
        <v>10</v>
      </c>
      <c r="N23" s="49">
        <v>5</v>
      </c>
      <c r="O23" s="50">
        <v>1415</v>
      </c>
      <c r="P23" s="50">
        <v>132</v>
      </c>
      <c r="Q23" s="51">
        <f t="shared" si="14"/>
        <v>1547</v>
      </c>
      <c r="R23" s="52" t="s">
        <v>210</v>
      </c>
      <c r="S23" s="53">
        <v>45.25</v>
      </c>
      <c r="T23" s="53">
        <v>15.53</v>
      </c>
      <c r="U23" s="54">
        <f t="shared" si="1"/>
        <v>60.78</v>
      </c>
      <c r="V23" s="53">
        <v>3.17</v>
      </c>
      <c r="W23" s="53">
        <v>0</v>
      </c>
      <c r="X23" s="54">
        <f t="shared" si="2"/>
        <v>3.17</v>
      </c>
      <c r="Y23" s="53">
        <v>0</v>
      </c>
      <c r="Z23" s="53">
        <v>0</v>
      </c>
      <c r="AA23" s="54">
        <f t="shared" si="3"/>
        <v>0</v>
      </c>
      <c r="AB23" s="53">
        <v>25.97</v>
      </c>
      <c r="AC23" s="53">
        <v>13.34</v>
      </c>
      <c r="AD23" s="54">
        <f t="shared" si="4"/>
        <v>39.31</v>
      </c>
      <c r="AE23" s="55">
        <v>9.3800000000000008</v>
      </c>
      <c r="AF23" s="55">
        <v>15.45</v>
      </c>
      <c r="AG23" s="54">
        <f t="shared" si="5"/>
        <v>24.83</v>
      </c>
      <c r="AH23" s="54">
        <f t="shared" si="6"/>
        <v>83.77</v>
      </c>
      <c r="AI23" s="54">
        <f t="shared" si="6"/>
        <v>44.319999999999993</v>
      </c>
      <c r="AJ23" s="54">
        <f t="shared" si="6"/>
        <v>128.09</v>
      </c>
      <c r="AK23" s="48" t="s">
        <v>211</v>
      </c>
      <c r="AL23" s="56">
        <v>1545.6</v>
      </c>
      <c r="AM23" s="56">
        <v>1435.4444444444446</v>
      </c>
      <c r="AN23" s="57">
        <f t="shared" si="7"/>
        <v>-110.15555555555534</v>
      </c>
      <c r="AO23" s="58" t="s">
        <v>212</v>
      </c>
      <c r="AP23" s="50">
        <v>8511</v>
      </c>
      <c r="AQ23" s="56">
        <v>22118.96154</v>
      </c>
      <c r="AR23" s="50">
        <v>132955</v>
      </c>
      <c r="AS23" s="52" t="s">
        <v>213</v>
      </c>
      <c r="AT23" s="50">
        <v>548</v>
      </c>
      <c r="AU23" s="56">
        <v>80</v>
      </c>
      <c r="AV23" s="56">
        <v>0.82</v>
      </c>
      <c r="AW23" s="50">
        <v>1050</v>
      </c>
      <c r="AX23" s="52" t="s">
        <v>213</v>
      </c>
      <c r="AY23" s="50">
        <v>252</v>
      </c>
      <c r="AZ23" s="56">
        <v>99.15</v>
      </c>
      <c r="BA23" s="50">
        <v>450</v>
      </c>
      <c r="BB23" s="52" t="s">
        <v>213</v>
      </c>
      <c r="BC23" s="50">
        <v>718</v>
      </c>
      <c r="BD23" s="50">
        <v>723</v>
      </c>
      <c r="BE23" s="51">
        <f t="shared" si="8"/>
        <v>1441</v>
      </c>
      <c r="BF23" s="50">
        <v>1357</v>
      </c>
      <c r="BG23" s="50">
        <v>84</v>
      </c>
      <c r="BH23" s="48" t="s">
        <v>210</v>
      </c>
      <c r="BI23" s="57">
        <f t="shared" si="9"/>
        <v>94.170714781401813</v>
      </c>
      <c r="BJ23" s="57">
        <f t="shared" si="9"/>
        <v>5.829285218598196</v>
      </c>
      <c r="BK23" s="57">
        <f t="shared" si="0"/>
        <v>49.826509368494101</v>
      </c>
      <c r="BL23" s="57">
        <f t="shared" si="0"/>
        <v>50.173490631505899</v>
      </c>
      <c r="BM23" s="50">
        <v>1010</v>
      </c>
      <c r="BN23" s="50">
        <v>954</v>
      </c>
      <c r="BO23" s="50">
        <v>1007</v>
      </c>
      <c r="BP23" s="48" t="s">
        <v>210</v>
      </c>
      <c r="BQ23" s="56">
        <v>10.5</v>
      </c>
      <c r="BR23" s="56">
        <v>12.7</v>
      </c>
      <c r="BS23" s="56">
        <v>10.6</v>
      </c>
      <c r="BT23" s="48" t="s">
        <v>214</v>
      </c>
      <c r="BU23" s="50">
        <v>492</v>
      </c>
      <c r="BV23" s="50">
        <v>545</v>
      </c>
      <c r="BW23" s="56">
        <v>3.431537426140971</v>
      </c>
      <c r="BX23" s="50">
        <v>84</v>
      </c>
      <c r="BY23" s="50">
        <v>77</v>
      </c>
      <c r="BZ23" s="50">
        <v>161</v>
      </c>
      <c r="CA23" s="48" t="s">
        <v>210</v>
      </c>
      <c r="CB23" s="50">
        <v>796</v>
      </c>
      <c r="CC23" s="50">
        <v>813</v>
      </c>
      <c r="CD23" s="51">
        <f t="shared" si="10"/>
        <v>1609</v>
      </c>
      <c r="CE23" s="52" t="s">
        <v>215</v>
      </c>
      <c r="CF23" s="56">
        <v>470.71</v>
      </c>
      <c r="CG23" s="56">
        <v>0.03</v>
      </c>
      <c r="CH23" s="56">
        <v>0.22</v>
      </c>
      <c r="CI23" s="56">
        <v>0.42</v>
      </c>
      <c r="CJ23" s="56">
        <v>32.36</v>
      </c>
      <c r="CK23" s="56">
        <v>21.96</v>
      </c>
      <c r="CL23" s="56">
        <v>0.19</v>
      </c>
      <c r="CM23" s="56">
        <v>0.04</v>
      </c>
      <c r="CN23" s="59">
        <v>5.05</v>
      </c>
      <c r="CO23" s="59">
        <v>0.7</v>
      </c>
      <c r="CP23" s="59">
        <v>11.62</v>
      </c>
      <c r="CQ23" s="55">
        <v>19.68</v>
      </c>
      <c r="CR23" s="55">
        <v>25.44</v>
      </c>
      <c r="CS23" s="60" t="s">
        <v>216</v>
      </c>
      <c r="CT23" s="50">
        <v>35</v>
      </c>
      <c r="CU23" s="50">
        <v>5</v>
      </c>
      <c r="CV23" s="50">
        <v>8</v>
      </c>
      <c r="CW23" s="50">
        <v>6</v>
      </c>
      <c r="CX23" s="50">
        <v>39</v>
      </c>
      <c r="CY23" s="50">
        <v>5</v>
      </c>
      <c r="CZ23" s="50">
        <v>20</v>
      </c>
      <c r="DA23" s="50">
        <v>14</v>
      </c>
      <c r="DB23" s="50">
        <v>132</v>
      </c>
      <c r="DC23" s="60" t="s">
        <v>216</v>
      </c>
      <c r="DD23" s="56">
        <v>5.73</v>
      </c>
      <c r="DE23" s="56">
        <v>2.9</v>
      </c>
      <c r="DF23" s="56">
        <v>0.36</v>
      </c>
      <c r="DG23" s="56">
        <v>15.56</v>
      </c>
      <c r="DH23" s="56">
        <v>37.479999999999997</v>
      </c>
      <c r="DI23" s="60" t="s">
        <v>216</v>
      </c>
      <c r="DJ23" s="56">
        <v>68.62</v>
      </c>
      <c r="DK23" s="56">
        <v>57.643999999999998</v>
      </c>
      <c r="DL23" s="56">
        <v>44.369</v>
      </c>
      <c r="DM23" s="56">
        <v>629.18399999999997</v>
      </c>
      <c r="DN23" s="56">
        <v>3355.0439999999999</v>
      </c>
      <c r="DO23" s="56" t="s">
        <v>217</v>
      </c>
      <c r="DP23" s="56" t="s">
        <v>217</v>
      </c>
      <c r="DQ23" s="56" t="s">
        <v>217</v>
      </c>
      <c r="DR23" s="56" t="s">
        <v>217</v>
      </c>
      <c r="DS23" s="56">
        <v>0</v>
      </c>
      <c r="DT23" s="48" t="s">
        <v>213</v>
      </c>
      <c r="DU23" s="56">
        <v>33</v>
      </c>
      <c r="DV23" s="49">
        <v>4</v>
      </c>
      <c r="DW23" s="48" t="s">
        <v>213</v>
      </c>
      <c r="DX23" s="49">
        <v>859</v>
      </c>
      <c r="DY23" s="49">
        <v>100776</v>
      </c>
      <c r="DZ23" s="49">
        <v>19</v>
      </c>
      <c r="EA23" s="49">
        <v>732</v>
      </c>
      <c r="EB23" s="49">
        <v>66817</v>
      </c>
      <c r="EC23" s="49">
        <v>15</v>
      </c>
      <c r="ED23" s="49">
        <v>366</v>
      </c>
      <c r="EE23" s="49">
        <v>40110</v>
      </c>
      <c r="EF23" s="49">
        <v>15</v>
      </c>
      <c r="EG23" s="49">
        <v>103</v>
      </c>
      <c r="EH23" s="49">
        <v>28036</v>
      </c>
      <c r="EI23" s="49">
        <v>30</v>
      </c>
      <c r="EJ23" s="50">
        <v>92</v>
      </c>
      <c r="EK23" s="50">
        <v>55</v>
      </c>
      <c r="EL23" s="56">
        <v>91.5</v>
      </c>
      <c r="EM23" s="56">
        <v>79</v>
      </c>
      <c r="EN23" s="56">
        <v>85.2</v>
      </c>
      <c r="EO23" s="48" t="s">
        <v>213</v>
      </c>
      <c r="EP23" s="48" t="s">
        <v>210</v>
      </c>
      <c r="EQ23" s="50">
        <v>1</v>
      </c>
      <c r="ER23" s="50">
        <v>0</v>
      </c>
      <c r="ES23" s="50">
        <v>1</v>
      </c>
      <c r="ET23" s="50">
        <v>8</v>
      </c>
      <c r="EU23" s="50">
        <v>48</v>
      </c>
      <c r="EV23" s="50">
        <v>227</v>
      </c>
      <c r="EW23" s="50" t="s">
        <v>237</v>
      </c>
      <c r="EX23" s="50">
        <v>381</v>
      </c>
      <c r="EY23" s="50">
        <v>16</v>
      </c>
      <c r="EZ23" s="50">
        <v>19</v>
      </c>
      <c r="FA23" s="61">
        <v>45352</v>
      </c>
      <c r="FB23" s="50">
        <v>230</v>
      </c>
      <c r="FC23" s="50">
        <v>1415</v>
      </c>
      <c r="FD23" s="50">
        <v>151</v>
      </c>
      <c r="FE23" s="56">
        <v>10211.974478353999</v>
      </c>
      <c r="FF23" s="56">
        <v>5651.8358181065496</v>
      </c>
      <c r="FG23" s="61">
        <v>45717</v>
      </c>
      <c r="FH23" s="50">
        <v>14</v>
      </c>
      <c r="FI23" s="49">
        <v>95</v>
      </c>
      <c r="FJ23" s="48" t="s">
        <v>213</v>
      </c>
      <c r="FK23" s="49">
        <v>322484</v>
      </c>
      <c r="FL23" s="49">
        <v>14561</v>
      </c>
      <c r="FM23" s="49">
        <v>15675</v>
      </c>
      <c r="FN23" s="49">
        <v>112532</v>
      </c>
      <c r="FO23" s="49">
        <v>1079</v>
      </c>
      <c r="FP23" s="49">
        <v>445595</v>
      </c>
      <c r="FQ23" s="48" t="s">
        <v>218</v>
      </c>
      <c r="FR23" s="53">
        <v>138.27000000000001</v>
      </c>
      <c r="FS23" s="53">
        <v>52.5</v>
      </c>
      <c r="FT23" s="53">
        <v>5.08</v>
      </c>
      <c r="FU23" s="48" t="s">
        <v>213</v>
      </c>
      <c r="FV23" s="50">
        <v>23635</v>
      </c>
      <c r="FW23" s="50">
        <v>14007</v>
      </c>
      <c r="FX23" s="51">
        <f t="shared" si="11"/>
        <v>37642</v>
      </c>
      <c r="FY23" s="50">
        <v>22455</v>
      </c>
      <c r="FZ23" s="51">
        <f t="shared" si="12"/>
        <v>60097</v>
      </c>
      <c r="GA23" s="48" t="s">
        <v>213</v>
      </c>
      <c r="GB23" s="49">
        <v>15900</v>
      </c>
      <c r="GC23" s="53">
        <v>63819.7</v>
      </c>
      <c r="GD23" s="49">
        <v>15537</v>
      </c>
      <c r="GE23" s="49">
        <v>73041.929999999993</v>
      </c>
      <c r="GF23" s="54">
        <f t="shared" si="13"/>
        <v>97.716981132075475</v>
      </c>
      <c r="GG23" s="54">
        <f t="shared" si="13"/>
        <v>114.45044398516444</v>
      </c>
      <c r="GH23" s="48" t="s">
        <v>219</v>
      </c>
    </row>
    <row r="24" spans="1:190" ht="21.6" x14ac:dyDescent="0.3">
      <c r="A24" s="48">
        <v>18</v>
      </c>
      <c r="B24" s="48">
        <v>2026</v>
      </c>
      <c r="C24" s="49" t="s">
        <v>238</v>
      </c>
      <c r="D24" s="50">
        <v>8303</v>
      </c>
      <c r="E24" s="49">
        <v>3</v>
      </c>
      <c r="F24" s="49">
        <v>13</v>
      </c>
      <c r="G24" s="49">
        <v>13</v>
      </c>
      <c r="H24" s="49">
        <v>10</v>
      </c>
      <c r="I24" s="49">
        <v>4</v>
      </c>
      <c r="J24" s="49">
        <v>1</v>
      </c>
      <c r="K24" s="49">
        <v>29</v>
      </c>
      <c r="L24" s="49">
        <v>297</v>
      </c>
      <c r="M24" s="49">
        <v>14</v>
      </c>
      <c r="N24" s="49">
        <v>6</v>
      </c>
      <c r="O24" s="50">
        <v>2064</v>
      </c>
      <c r="P24" s="50">
        <v>59</v>
      </c>
      <c r="Q24" s="51">
        <f t="shared" si="14"/>
        <v>2123</v>
      </c>
      <c r="R24" s="52" t="s">
        <v>210</v>
      </c>
      <c r="S24" s="53">
        <v>25.39</v>
      </c>
      <c r="T24" s="53">
        <v>1.1200000000000001</v>
      </c>
      <c r="U24" s="54">
        <f t="shared" si="1"/>
        <v>26.51</v>
      </c>
      <c r="V24" s="53">
        <v>0.26</v>
      </c>
      <c r="W24" s="53">
        <v>0</v>
      </c>
      <c r="X24" s="54">
        <f t="shared" si="2"/>
        <v>0.26</v>
      </c>
      <c r="Y24" s="53">
        <v>12.45</v>
      </c>
      <c r="Z24" s="53">
        <v>2.19</v>
      </c>
      <c r="AA24" s="54">
        <f t="shared" si="3"/>
        <v>14.639999999999999</v>
      </c>
      <c r="AB24" s="53">
        <v>44.94</v>
      </c>
      <c r="AC24" s="53">
        <v>18.25</v>
      </c>
      <c r="AD24" s="54">
        <f t="shared" si="4"/>
        <v>63.19</v>
      </c>
      <c r="AE24" s="55">
        <v>23.22</v>
      </c>
      <c r="AF24" s="55">
        <v>30.63</v>
      </c>
      <c r="AG24" s="54">
        <f t="shared" si="5"/>
        <v>53.849999999999994</v>
      </c>
      <c r="AH24" s="54">
        <f t="shared" si="6"/>
        <v>106.25999999999999</v>
      </c>
      <c r="AI24" s="54">
        <f t="shared" si="6"/>
        <v>52.19</v>
      </c>
      <c r="AJ24" s="54">
        <f t="shared" si="6"/>
        <v>158.44999999999999</v>
      </c>
      <c r="AK24" s="48" t="s">
        <v>211</v>
      </c>
      <c r="AL24" s="56">
        <v>1397.5</v>
      </c>
      <c r="AM24" s="56">
        <v>1174.7615384615383</v>
      </c>
      <c r="AN24" s="57">
        <f t="shared" si="7"/>
        <v>-222.73846153846171</v>
      </c>
      <c r="AO24" s="58" t="s">
        <v>212</v>
      </c>
      <c r="AP24" s="50">
        <v>9321</v>
      </c>
      <c r="AQ24" s="56">
        <v>25640.574550000001</v>
      </c>
      <c r="AR24" s="50">
        <v>80530</v>
      </c>
      <c r="AS24" s="52" t="s">
        <v>213</v>
      </c>
      <c r="AT24" s="50">
        <v>345</v>
      </c>
      <c r="AU24" s="56">
        <v>2293.5</v>
      </c>
      <c r="AV24" s="56">
        <v>0.21</v>
      </c>
      <c r="AW24" s="50">
        <v>150</v>
      </c>
      <c r="AX24" s="52" t="s">
        <v>213</v>
      </c>
      <c r="AY24" s="50">
        <v>1162</v>
      </c>
      <c r="AZ24" s="56">
        <v>2317</v>
      </c>
      <c r="BA24" s="50">
        <v>2729</v>
      </c>
      <c r="BB24" s="52" t="s">
        <v>213</v>
      </c>
      <c r="BC24" s="50">
        <v>907</v>
      </c>
      <c r="BD24" s="50">
        <v>895</v>
      </c>
      <c r="BE24" s="51">
        <f t="shared" si="8"/>
        <v>1802</v>
      </c>
      <c r="BF24" s="50">
        <v>1549</v>
      </c>
      <c r="BG24" s="50">
        <v>253</v>
      </c>
      <c r="BH24" s="48" t="s">
        <v>210</v>
      </c>
      <c r="BI24" s="57">
        <f t="shared" si="9"/>
        <v>85.96004439511654</v>
      </c>
      <c r="BJ24" s="57">
        <f t="shared" si="9"/>
        <v>14.039955604883463</v>
      </c>
      <c r="BK24" s="57">
        <f t="shared" si="0"/>
        <v>50.332963374028864</v>
      </c>
      <c r="BL24" s="57">
        <f t="shared" si="0"/>
        <v>49.667036625971143</v>
      </c>
      <c r="BM24" s="50">
        <v>999</v>
      </c>
      <c r="BN24" s="50">
        <v>920</v>
      </c>
      <c r="BO24" s="50">
        <v>988</v>
      </c>
      <c r="BP24" s="48" t="s">
        <v>210</v>
      </c>
      <c r="BQ24" s="56">
        <v>14.8</v>
      </c>
      <c r="BR24" s="56">
        <v>18.8</v>
      </c>
      <c r="BS24" s="56">
        <v>15.3</v>
      </c>
      <c r="BT24" s="48" t="s">
        <v>214</v>
      </c>
      <c r="BU24" s="50">
        <v>188</v>
      </c>
      <c r="BV24" s="50">
        <v>217</v>
      </c>
      <c r="BW24" s="56">
        <v>4.2924754429016403</v>
      </c>
      <c r="BX24" s="50">
        <v>132</v>
      </c>
      <c r="BY24" s="50">
        <v>127</v>
      </c>
      <c r="BZ24" s="50">
        <v>259</v>
      </c>
      <c r="CA24" s="48" t="s">
        <v>210</v>
      </c>
      <c r="CB24" s="50">
        <v>1005</v>
      </c>
      <c r="CC24" s="50">
        <v>1003</v>
      </c>
      <c r="CD24" s="51">
        <f t="shared" si="10"/>
        <v>2008</v>
      </c>
      <c r="CE24" s="52" t="s">
        <v>215</v>
      </c>
      <c r="CF24" s="56">
        <v>515</v>
      </c>
      <c r="CG24" s="56">
        <v>0.34</v>
      </c>
      <c r="CH24" s="56">
        <v>77.319999999999993</v>
      </c>
      <c r="CI24" s="56">
        <v>10.17</v>
      </c>
      <c r="CJ24" s="56">
        <v>7.45</v>
      </c>
      <c r="CK24" s="56">
        <v>8.2799999999999994</v>
      </c>
      <c r="CL24" s="56">
        <v>11.43</v>
      </c>
      <c r="CM24" s="56">
        <v>2.48</v>
      </c>
      <c r="CN24" s="59">
        <v>6.35</v>
      </c>
      <c r="CO24" s="59">
        <v>4.1900000000000004</v>
      </c>
      <c r="CP24" s="59">
        <v>17.45</v>
      </c>
      <c r="CQ24" s="55">
        <v>32.869999999999997</v>
      </c>
      <c r="CR24" s="55">
        <v>0</v>
      </c>
      <c r="CS24" s="60" t="s">
        <v>216</v>
      </c>
      <c r="CT24" s="50">
        <v>327</v>
      </c>
      <c r="CU24" s="50">
        <v>6</v>
      </c>
      <c r="CV24" s="50">
        <v>20</v>
      </c>
      <c r="CW24" s="50">
        <v>26</v>
      </c>
      <c r="CX24" s="50">
        <v>70</v>
      </c>
      <c r="CY24" s="50">
        <v>83</v>
      </c>
      <c r="CZ24" s="50">
        <v>33</v>
      </c>
      <c r="DA24" s="50">
        <v>0</v>
      </c>
      <c r="DB24" s="50">
        <v>265</v>
      </c>
      <c r="DC24" s="60" t="s">
        <v>216</v>
      </c>
      <c r="DD24" s="56">
        <v>11.18</v>
      </c>
      <c r="DE24" s="56">
        <v>6.09</v>
      </c>
      <c r="DF24" s="56">
        <v>1.0900000000000001</v>
      </c>
      <c r="DG24" s="56">
        <v>11.34</v>
      </c>
      <c r="DH24" s="56">
        <v>49.39</v>
      </c>
      <c r="DI24" s="60" t="s">
        <v>216</v>
      </c>
      <c r="DJ24" s="56">
        <v>403.66</v>
      </c>
      <c r="DK24" s="56">
        <v>52.326999999999998</v>
      </c>
      <c r="DL24" s="56">
        <v>53.408999999999999</v>
      </c>
      <c r="DM24" s="56">
        <v>1112.9290000000001</v>
      </c>
      <c r="DN24" s="56">
        <v>4597.6850000000004</v>
      </c>
      <c r="DO24" s="56" t="s">
        <v>217</v>
      </c>
      <c r="DP24" s="56" t="s">
        <v>217</v>
      </c>
      <c r="DQ24" s="56" t="s">
        <v>217</v>
      </c>
      <c r="DR24" s="56" t="s">
        <v>217</v>
      </c>
      <c r="DS24" s="56">
        <v>249.98</v>
      </c>
      <c r="DT24" s="48" t="s">
        <v>213</v>
      </c>
      <c r="DU24" s="56">
        <v>196</v>
      </c>
      <c r="DV24" s="49">
        <v>15</v>
      </c>
      <c r="DW24" s="48" t="s">
        <v>213</v>
      </c>
      <c r="DX24" s="49">
        <v>1575</v>
      </c>
      <c r="DY24" s="49">
        <v>160854</v>
      </c>
      <c r="DZ24" s="49">
        <v>19</v>
      </c>
      <c r="EA24" s="49">
        <v>1000</v>
      </c>
      <c r="EB24" s="49">
        <v>101412</v>
      </c>
      <c r="EC24" s="49">
        <v>18</v>
      </c>
      <c r="ED24" s="49">
        <v>492</v>
      </c>
      <c r="EE24" s="49">
        <v>57392</v>
      </c>
      <c r="EF24" s="49">
        <v>15</v>
      </c>
      <c r="EG24" s="49">
        <v>110</v>
      </c>
      <c r="EH24" s="49">
        <v>33727</v>
      </c>
      <c r="EI24" s="49">
        <v>36</v>
      </c>
      <c r="EJ24" s="50">
        <v>97</v>
      </c>
      <c r="EK24" s="50">
        <v>37</v>
      </c>
      <c r="EL24" s="56">
        <v>78.099999999999994</v>
      </c>
      <c r="EM24" s="56">
        <v>58.3</v>
      </c>
      <c r="EN24" s="56">
        <v>68.2</v>
      </c>
      <c r="EO24" s="48" t="s">
        <v>213</v>
      </c>
      <c r="EP24" s="48" t="s">
        <v>210</v>
      </c>
      <c r="EQ24" s="50">
        <v>1</v>
      </c>
      <c r="ER24" s="50">
        <v>1</v>
      </c>
      <c r="ES24" s="50">
        <v>1</v>
      </c>
      <c r="ET24" s="50">
        <v>17</v>
      </c>
      <c r="EU24" s="50">
        <v>69</v>
      </c>
      <c r="EV24" s="50">
        <v>351</v>
      </c>
      <c r="EW24" s="50">
        <v>12</v>
      </c>
      <c r="EX24" s="50">
        <v>593</v>
      </c>
      <c r="EY24" s="50">
        <v>49</v>
      </c>
      <c r="EZ24" s="50">
        <v>34</v>
      </c>
      <c r="FA24" s="61">
        <v>45352</v>
      </c>
      <c r="FB24" s="50">
        <v>434</v>
      </c>
      <c r="FC24" s="50">
        <v>2064</v>
      </c>
      <c r="FD24" s="50">
        <v>236</v>
      </c>
      <c r="FE24" s="56">
        <v>18200.159798093002</v>
      </c>
      <c r="FF24" s="56">
        <v>9906.9261643086302</v>
      </c>
      <c r="FG24" s="61">
        <v>45717</v>
      </c>
      <c r="FH24" s="50">
        <v>22</v>
      </c>
      <c r="FI24" s="49">
        <v>122</v>
      </c>
      <c r="FJ24" s="48" t="s">
        <v>213</v>
      </c>
      <c r="FK24" s="49">
        <v>626833</v>
      </c>
      <c r="FL24" s="49">
        <v>5707</v>
      </c>
      <c r="FM24" s="49">
        <v>51040</v>
      </c>
      <c r="FN24" s="49">
        <v>517321</v>
      </c>
      <c r="FO24" s="49">
        <v>3166</v>
      </c>
      <c r="FP24" s="49">
        <v>2023721</v>
      </c>
      <c r="FQ24" s="48" t="s">
        <v>218</v>
      </c>
      <c r="FR24" s="53">
        <v>95.820000000000007</v>
      </c>
      <c r="FS24" s="53">
        <v>1111.4000000000001</v>
      </c>
      <c r="FT24" s="53">
        <v>10.4</v>
      </c>
      <c r="FU24" s="48" t="s">
        <v>213</v>
      </c>
      <c r="FV24" s="50">
        <v>36345</v>
      </c>
      <c r="FW24" s="50">
        <v>0</v>
      </c>
      <c r="FX24" s="51">
        <f t="shared" si="11"/>
        <v>36345</v>
      </c>
      <c r="FY24" s="50">
        <v>0</v>
      </c>
      <c r="FZ24" s="51">
        <f t="shared" si="12"/>
        <v>36345</v>
      </c>
      <c r="GA24" s="48" t="s">
        <v>213</v>
      </c>
      <c r="GB24" s="49">
        <v>17035</v>
      </c>
      <c r="GC24" s="53">
        <v>61060</v>
      </c>
      <c r="GD24" s="49">
        <v>18118</v>
      </c>
      <c r="GE24" s="49">
        <v>73425.919999999998</v>
      </c>
      <c r="GF24" s="54">
        <f t="shared" si="13"/>
        <v>106.35749926621661</v>
      </c>
      <c r="GG24" s="54">
        <f t="shared" si="13"/>
        <v>120.2520799213888</v>
      </c>
      <c r="GH24" s="48" t="s">
        <v>219</v>
      </c>
    </row>
    <row r="25" spans="1:190" ht="21.6" x14ac:dyDescent="0.3">
      <c r="A25" s="48">
        <v>19</v>
      </c>
      <c r="B25" s="48">
        <v>2026</v>
      </c>
      <c r="C25" s="49" t="s">
        <v>239</v>
      </c>
      <c r="D25" s="50">
        <v>2813</v>
      </c>
      <c r="E25" s="49">
        <v>2</v>
      </c>
      <c r="F25" s="49">
        <v>10</v>
      </c>
      <c r="G25" s="49">
        <v>10</v>
      </c>
      <c r="H25" s="49">
        <v>0</v>
      </c>
      <c r="I25" s="49">
        <v>3</v>
      </c>
      <c r="J25" s="49">
        <v>2</v>
      </c>
      <c r="K25" s="49">
        <v>43</v>
      </c>
      <c r="L25" s="49">
        <v>190</v>
      </c>
      <c r="M25" s="49">
        <v>14</v>
      </c>
      <c r="N25" s="49">
        <v>8</v>
      </c>
      <c r="O25" s="50">
        <v>1356</v>
      </c>
      <c r="P25" s="50">
        <v>178</v>
      </c>
      <c r="Q25" s="51">
        <f t="shared" si="14"/>
        <v>1534</v>
      </c>
      <c r="R25" s="52" t="s">
        <v>210</v>
      </c>
      <c r="S25" s="53">
        <v>20.329999999999998</v>
      </c>
      <c r="T25" s="53">
        <v>4.34</v>
      </c>
      <c r="U25" s="54">
        <f t="shared" si="1"/>
        <v>24.669999999999998</v>
      </c>
      <c r="V25" s="53">
        <v>0</v>
      </c>
      <c r="W25" s="53">
        <v>0</v>
      </c>
      <c r="X25" s="54">
        <f t="shared" si="2"/>
        <v>0</v>
      </c>
      <c r="Y25" s="53">
        <v>11.66</v>
      </c>
      <c r="Z25" s="53">
        <v>0.56000000000000005</v>
      </c>
      <c r="AA25" s="54">
        <f t="shared" si="3"/>
        <v>12.22</v>
      </c>
      <c r="AB25" s="53">
        <v>9.11</v>
      </c>
      <c r="AC25" s="53">
        <v>10.07</v>
      </c>
      <c r="AD25" s="54">
        <f t="shared" si="4"/>
        <v>19.18</v>
      </c>
      <c r="AE25" s="55">
        <v>11.56</v>
      </c>
      <c r="AF25" s="55">
        <v>5.43</v>
      </c>
      <c r="AG25" s="54">
        <f t="shared" si="5"/>
        <v>16.990000000000002</v>
      </c>
      <c r="AH25" s="54">
        <f t="shared" si="6"/>
        <v>52.66</v>
      </c>
      <c r="AI25" s="54">
        <f t="shared" si="6"/>
        <v>20.399999999999999</v>
      </c>
      <c r="AJ25" s="54">
        <f t="shared" si="6"/>
        <v>73.06</v>
      </c>
      <c r="AK25" s="48" t="s">
        <v>211</v>
      </c>
      <c r="AL25" s="56">
        <v>1433.5</v>
      </c>
      <c r="AM25" s="56">
        <v>1403.3820000000001</v>
      </c>
      <c r="AN25" s="57">
        <f t="shared" si="7"/>
        <v>-30.117999999999938</v>
      </c>
      <c r="AO25" s="58" t="s">
        <v>212</v>
      </c>
      <c r="AP25" s="50">
        <v>32768</v>
      </c>
      <c r="AQ25" s="56">
        <v>114616.31179000001</v>
      </c>
      <c r="AR25" s="50">
        <v>207122</v>
      </c>
      <c r="AS25" s="52" t="s">
        <v>213</v>
      </c>
      <c r="AT25" s="50">
        <v>1396</v>
      </c>
      <c r="AU25" s="56">
        <v>131.19999999999999</v>
      </c>
      <c r="AV25" s="56">
        <v>2.35</v>
      </c>
      <c r="AW25" s="50">
        <v>2100</v>
      </c>
      <c r="AX25" s="52" t="s">
        <v>213</v>
      </c>
      <c r="AY25" s="50">
        <v>244</v>
      </c>
      <c r="AZ25" s="56">
        <v>244</v>
      </c>
      <c r="BA25" s="50">
        <v>244</v>
      </c>
      <c r="BB25" s="52" t="s">
        <v>213</v>
      </c>
      <c r="BC25" s="50">
        <v>1167</v>
      </c>
      <c r="BD25" s="50">
        <v>1084</v>
      </c>
      <c r="BE25" s="51">
        <f t="shared" si="8"/>
        <v>2251</v>
      </c>
      <c r="BF25" s="50">
        <v>1167</v>
      </c>
      <c r="BG25" s="50">
        <v>1084</v>
      </c>
      <c r="BH25" s="48" t="s">
        <v>210</v>
      </c>
      <c r="BI25" s="57">
        <f t="shared" si="9"/>
        <v>51.843625055530872</v>
      </c>
      <c r="BJ25" s="57">
        <f t="shared" si="9"/>
        <v>48.156374944469128</v>
      </c>
      <c r="BK25" s="57">
        <f t="shared" si="0"/>
        <v>51.843625055530872</v>
      </c>
      <c r="BL25" s="57">
        <f t="shared" si="0"/>
        <v>48.156374944469128</v>
      </c>
      <c r="BM25" s="50">
        <v>959</v>
      </c>
      <c r="BN25" s="50">
        <v>898</v>
      </c>
      <c r="BO25" s="50">
        <v>929</v>
      </c>
      <c r="BP25" s="48" t="s">
        <v>210</v>
      </c>
      <c r="BQ25" s="56">
        <v>8.9</v>
      </c>
      <c r="BR25" s="56">
        <v>34.6</v>
      </c>
      <c r="BS25" s="56">
        <v>19.899999999999999</v>
      </c>
      <c r="BT25" s="48" t="s">
        <v>214</v>
      </c>
      <c r="BU25" s="50">
        <v>667</v>
      </c>
      <c r="BV25" s="50">
        <v>800</v>
      </c>
      <c r="BW25" s="56">
        <v>5.3644191775055816</v>
      </c>
      <c r="BX25" s="50">
        <v>124</v>
      </c>
      <c r="BY25" s="50">
        <v>113</v>
      </c>
      <c r="BZ25" s="50">
        <v>237</v>
      </c>
      <c r="CA25" s="48" t="s">
        <v>210</v>
      </c>
      <c r="CB25" s="50">
        <v>1302</v>
      </c>
      <c r="CC25" s="50">
        <v>1219</v>
      </c>
      <c r="CD25" s="51">
        <f t="shared" si="10"/>
        <v>2521</v>
      </c>
      <c r="CE25" s="52" t="s">
        <v>215</v>
      </c>
      <c r="CF25" s="56">
        <v>498.55</v>
      </c>
      <c r="CG25" s="56">
        <v>0</v>
      </c>
      <c r="CH25" s="56">
        <v>0.53</v>
      </c>
      <c r="CI25" s="56">
        <v>0.51</v>
      </c>
      <c r="CJ25" s="56">
        <v>23.01</v>
      </c>
      <c r="CK25" s="56">
        <v>6.82</v>
      </c>
      <c r="CL25" s="56">
        <v>0.84</v>
      </c>
      <c r="CM25" s="56">
        <v>0.27</v>
      </c>
      <c r="CN25" s="59">
        <v>1.84</v>
      </c>
      <c r="CO25" s="59">
        <v>0.19</v>
      </c>
      <c r="CP25" s="59">
        <v>0</v>
      </c>
      <c r="CQ25" s="55">
        <v>13.09</v>
      </c>
      <c r="CR25" s="55">
        <v>19.5</v>
      </c>
      <c r="CS25" s="60" t="s">
        <v>216</v>
      </c>
      <c r="CT25" s="50">
        <v>67</v>
      </c>
      <c r="CU25" s="50">
        <v>10</v>
      </c>
      <c r="CV25" s="50">
        <v>5</v>
      </c>
      <c r="CW25" s="50">
        <v>8</v>
      </c>
      <c r="CX25" s="50">
        <v>41</v>
      </c>
      <c r="CY25" s="50">
        <v>15</v>
      </c>
      <c r="CZ25" s="50">
        <v>24</v>
      </c>
      <c r="DA25" s="50">
        <v>6</v>
      </c>
      <c r="DB25" s="50">
        <v>105</v>
      </c>
      <c r="DC25" s="60" t="s">
        <v>216</v>
      </c>
      <c r="DD25" s="56">
        <v>6.45</v>
      </c>
      <c r="DE25" s="56">
        <v>3.88</v>
      </c>
      <c r="DF25" s="56">
        <v>0.62</v>
      </c>
      <c r="DG25" s="56">
        <v>37.380000000000003</v>
      </c>
      <c r="DH25" s="56">
        <v>61.85</v>
      </c>
      <c r="DI25" s="60" t="s">
        <v>216</v>
      </c>
      <c r="DJ25" s="56">
        <v>168.25</v>
      </c>
      <c r="DK25" s="56">
        <v>40.380000000000003</v>
      </c>
      <c r="DL25" s="56">
        <v>239.57400000000001</v>
      </c>
      <c r="DM25" s="56">
        <v>866.50800000000004</v>
      </c>
      <c r="DN25" s="56">
        <v>2634.4920000000002</v>
      </c>
      <c r="DO25" s="56" t="s">
        <v>217</v>
      </c>
      <c r="DP25" s="56" t="s">
        <v>217</v>
      </c>
      <c r="DQ25" s="56" t="s">
        <v>217</v>
      </c>
      <c r="DR25" s="56" t="s">
        <v>217</v>
      </c>
      <c r="DS25" s="56">
        <v>264.43</v>
      </c>
      <c r="DT25" s="48" t="s">
        <v>213</v>
      </c>
      <c r="DU25" s="56">
        <v>168</v>
      </c>
      <c r="DV25" s="49">
        <v>26</v>
      </c>
      <c r="DW25" s="48" t="s">
        <v>213</v>
      </c>
      <c r="DX25" s="49">
        <v>706</v>
      </c>
      <c r="DY25" s="49">
        <v>181954</v>
      </c>
      <c r="DZ25" s="49">
        <v>17</v>
      </c>
      <c r="EA25" s="49">
        <v>803</v>
      </c>
      <c r="EB25" s="49">
        <v>125493</v>
      </c>
      <c r="EC25" s="49">
        <v>17</v>
      </c>
      <c r="ED25" s="49">
        <v>355</v>
      </c>
      <c r="EE25" s="49">
        <v>77050</v>
      </c>
      <c r="EF25" s="49">
        <v>17</v>
      </c>
      <c r="EG25" s="49">
        <v>219</v>
      </c>
      <c r="EH25" s="49">
        <v>78681</v>
      </c>
      <c r="EI25" s="49">
        <v>30</v>
      </c>
      <c r="EJ25" s="50">
        <v>166</v>
      </c>
      <c r="EK25" s="50">
        <v>72</v>
      </c>
      <c r="EL25" s="56">
        <v>91.8</v>
      </c>
      <c r="EM25" s="56">
        <v>81.599999999999994</v>
      </c>
      <c r="EN25" s="56">
        <v>86.9</v>
      </c>
      <c r="EO25" s="48" t="s">
        <v>213</v>
      </c>
      <c r="EP25" s="48" t="s">
        <v>210</v>
      </c>
      <c r="EQ25" s="50">
        <v>2</v>
      </c>
      <c r="ER25" s="50">
        <v>0</v>
      </c>
      <c r="ES25" s="50">
        <v>2</v>
      </c>
      <c r="ET25" s="50">
        <v>16</v>
      </c>
      <c r="EU25" s="50">
        <v>75</v>
      </c>
      <c r="EV25" s="50">
        <v>202</v>
      </c>
      <c r="EW25" s="50">
        <v>1</v>
      </c>
      <c r="EX25" s="50">
        <v>899</v>
      </c>
      <c r="EY25" s="50">
        <v>23</v>
      </c>
      <c r="EZ25" s="50">
        <v>27</v>
      </c>
      <c r="FA25" s="61">
        <v>45352</v>
      </c>
      <c r="FB25" s="50">
        <v>338</v>
      </c>
      <c r="FC25" s="50">
        <v>1356</v>
      </c>
      <c r="FD25" s="50">
        <v>770</v>
      </c>
      <c r="FE25" s="56">
        <v>215019.08714409938</v>
      </c>
      <c r="FF25" s="56">
        <v>159223.50107050882</v>
      </c>
      <c r="FG25" s="61">
        <v>45717</v>
      </c>
      <c r="FH25" s="50">
        <v>20</v>
      </c>
      <c r="FI25" s="49">
        <v>111</v>
      </c>
      <c r="FJ25" s="48" t="s">
        <v>213</v>
      </c>
      <c r="FK25" s="49">
        <v>276331</v>
      </c>
      <c r="FL25" s="49">
        <v>9636</v>
      </c>
      <c r="FM25" s="49">
        <v>26974</v>
      </c>
      <c r="FN25" s="49">
        <v>79402</v>
      </c>
      <c r="FO25" s="49">
        <v>1290</v>
      </c>
      <c r="FP25" s="49">
        <v>1575988</v>
      </c>
      <c r="FQ25" s="48" t="s">
        <v>218</v>
      </c>
      <c r="FR25" s="53">
        <v>108.52</v>
      </c>
      <c r="FS25" s="53">
        <v>1777.3</v>
      </c>
      <c r="FT25" s="53">
        <v>34.340000000000003</v>
      </c>
      <c r="FU25" s="48" t="s">
        <v>213</v>
      </c>
      <c r="FV25" s="50">
        <v>27301</v>
      </c>
      <c r="FW25" s="50">
        <v>10886</v>
      </c>
      <c r="FX25" s="51">
        <f t="shared" si="11"/>
        <v>38187</v>
      </c>
      <c r="FY25" s="50">
        <v>0</v>
      </c>
      <c r="FZ25" s="51">
        <f t="shared" si="12"/>
        <v>38187</v>
      </c>
      <c r="GA25" s="48" t="s">
        <v>213</v>
      </c>
      <c r="GB25" s="49">
        <v>19600</v>
      </c>
      <c r="GC25" s="53">
        <v>90900</v>
      </c>
      <c r="GD25" s="49">
        <v>18464</v>
      </c>
      <c r="GE25" s="49">
        <v>96676.41</v>
      </c>
      <c r="GF25" s="54">
        <f t="shared" si="13"/>
        <v>94.204081632653057</v>
      </c>
      <c r="GG25" s="54">
        <f t="shared" si="13"/>
        <v>106.35468646864688</v>
      </c>
      <c r="GH25" s="48" t="s">
        <v>219</v>
      </c>
    </row>
    <row r="26" spans="1:190" ht="21.6" x14ac:dyDescent="0.3">
      <c r="A26" s="48">
        <v>20</v>
      </c>
      <c r="B26" s="48">
        <v>2026</v>
      </c>
      <c r="C26" s="49" t="s">
        <v>240</v>
      </c>
      <c r="D26" s="50">
        <v>8807</v>
      </c>
      <c r="E26" s="49">
        <v>2</v>
      </c>
      <c r="F26" s="49">
        <v>14</v>
      </c>
      <c r="G26" s="49">
        <v>14</v>
      </c>
      <c r="H26" s="49">
        <v>14</v>
      </c>
      <c r="I26" s="49">
        <v>3</v>
      </c>
      <c r="J26" s="49">
        <v>1</v>
      </c>
      <c r="K26" s="49">
        <v>26</v>
      </c>
      <c r="L26" s="49">
        <v>240</v>
      </c>
      <c r="M26" s="49">
        <v>14</v>
      </c>
      <c r="N26" s="49">
        <v>5</v>
      </c>
      <c r="O26" s="50">
        <v>1941</v>
      </c>
      <c r="P26" s="50">
        <v>101</v>
      </c>
      <c r="Q26" s="51">
        <f t="shared" si="14"/>
        <v>2042</v>
      </c>
      <c r="R26" s="52" t="s">
        <v>210</v>
      </c>
      <c r="S26" s="53">
        <v>40.47</v>
      </c>
      <c r="T26" s="53">
        <v>19.66</v>
      </c>
      <c r="U26" s="54">
        <f t="shared" si="1"/>
        <v>60.129999999999995</v>
      </c>
      <c r="V26" s="53">
        <v>1.1599999999999999</v>
      </c>
      <c r="W26" s="53">
        <v>0.27</v>
      </c>
      <c r="X26" s="54">
        <f t="shared" si="2"/>
        <v>1.43</v>
      </c>
      <c r="Y26" s="53">
        <v>2.48</v>
      </c>
      <c r="Z26" s="53">
        <v>0.68</v>
      </c>
      <c r="AA26" s="54">
        <f t="shared" si="3"/>
        <v>3.16</v>
      </c>
      <c r="AB26" s="53">
        <v>16.16</v>
      </c>
      <c r="AC26" s="53">
        <v>10.050000000000001</v>
      </c>
      <c r="AD26" s="54">
        <f t="shared" si="4"/>
        <v>26.21</v>
      </c>
      <c r="AE26" s="55">
        <v>16.73</v>
      </c>
      <c r="AF26" s="55">
        <v>35.700000000000003</v>
      </c>
      <c r="AG26" s="54">
        <f t="shared" si="5"/>
        <v>52.430000000000007</v>
      </c>
      <c r="AH26" s="54">
        <f t="shared" si="6"/>
        <v>77</v>
      </c>
      <c r="AI26" s="54">
        <f t="shared" si="6"/>
        <v>66.36</v>
      </c>
      <c r="AJ26" s="54">
        <f t="shared" si="6"/>
        <v>143.36000000000001</v>
      </c>
      <c r="AK26" s="48" t="s">
        <v>211</v>
      </c>
      <c r="AL26" s="56">
        <v>1489.2</v>
      </c>
      <c r="AM26" s="56">
        <v>1733.0714285714287</v>
      </c>
      <c r="AN26" s="57">
        <f t="shared" si="7"/>
        <v>243.87142857142862</v>
      </c>
      <c r="AO26" s="58" t="s">
        <v>212</v>
      </c>
      <c r="AP26" s="50">
        <v>6929</v>
      </c>
      <c r="AQ26" s="56">
        <v>16077.962750000001</v>
      </c>
      <c r="AR26" s="50">
        <v>38867</v>
      </c>
      <c r="AS26" s="52" t="s">
        <v>213</v>
      </c>
      <c r="AT26" s="50">
        <v>73</v>
      </c>
      <c r="AU26" s="56">
        <v>85.68</v>
      </c>
      <c r="AV26" s="56">
        <v>0.12</v>
      </c>
      <c r="AW26" s="50">
        <v>120</v>
      </c>
      <c r="AX26" s="52" t="s">
        <v>213</v>
      </c>
      <c r="AY26" s="50">
        <v>99</v>
      </c>
      <c r="AZ26" s="56">
        <v>61.54</v>
      </c>
      <c r="BA26" s="50">
        <v>340</v>
      </c>
      <c r="BB26" s="52" t="s">
        <v>213</v>
      </c>
      <c r="BC26" s="50">
        <v>679</v>
      </c>
      <c r="BD26" s="50">
        <v>701</v>
      </c>
      <c r="BE26" s="51">
        <f t="shared" si="8"/>
        <v>1380</v>
      </c>
      <c r="BF26" s="50">
        <v>1154</v>
      </c>
      <c r="BG26" s="50">
        <v>226</v>
      </c>
      <c r="BH26" s="48" t="s">
        <v>210</v>
      </c>
      <c r="BI26" s="57">
        <f t="shared" si="9"/>
        <v>83.623188405797094</v>
      </c>
      <c r="BJ26" s="57">
        <f t="shared" si="9"/>
        <v>16.376811594202898</v>
      </c>
      <c r="BK26" s="57">
        <f t="shared" si="0"/>
        <v>49.20289855072464</v>
      </c>
      <c r="BL26" s="57">
        <f t="shared" si="0"/>
        <v>50.79710144927536</v>
      </c>
      <c r="BM26" s="50">
        <v>1046</v>
      </c>
      <c r="BN26" s="50">
        <v>966</v>
      </c>
      <c r="BO26" s="50">
        <v>1032</v>
      </c>
      <c r="BP26" s="48" t="s">
        <v>210</v>
      </c>
      <c r="BQ26" s="56">
        <v>17.399999999999999</v>
      </c>
      <c r="BR26" s="56">
        <v>14</v>
      </c>
      <c r="BS26" s="56">
        <v>16.899999999999999</v>
      </c>
      <c r="BT26" s="48" t="s">
        <v>214</v>
      </c>
      <c r="BU26" s="50">
        <v>134</v>
      </c>
      <c r="BV26" s="50">
        <v>157</v>
      </c>
      <c r="BW26" s="56">
        <v>3.2868914913435674</v>
      </c>
      <c r="BX26" s="50">
        <v>114</v>
      </c>
      <c r="BY26" s="50">
        <v>111</v>
      </c>
      <c r="BZ26" s="50">
        <v>225</v>
      </c>
      <c r="CA26" s="48" t="s">
        <v>210</v>
      </c>
      <c r="CB26" s="50">
        <v>751</v>
      </c>
      <c r="CC26" s="50">
        <v>780</v>
      </c>
      <c r="CD26" s="51">
        <f t="shared" si="10"/>
        <v>1531</v>
      </c>
      <c r="CE26" s="52" t="s">
        <v>215</v>
      </c>
      <c r="CF26" s="56">
        <v>561.59</v>
      </c>
      <c r="CG26" s="56">
        <v>0.02</v>
      </c>
      <c r="CH26" s="56">
        <v>105.35</v>
      </c>
      <c r="CI26" s="56">
        <v>93.14</v>
      </c>
      <c r="CJ26" s="56">
        <v>1.91</v>
      </c>
      <c r="CK26" s="56">
        <v>4.26</v>
      </c>
      <c r="CL26" s="56">
        <v>0.52</v>
      </c>
      <c r="CM26" s="56">
        <v>0.36</v>
      </c>
      <c r="CN26" s="59">
        <v>3.95</v>
      </c>
      <c r="CO26" s="59">
        <v>0.27</v>
      </c>
      <c r="CP26" s="59">
        <v>0</v>
      </c>
      <c r="CQ26" s="55">
        <v>19.89</v>
      </c>
      <c r="CR26" s="55">
        <v>406.44</v>
      </c>
      <c r="CS26" s="60" t="s">
        <v>216</v>
      </c>
      <c r="CT26" s="50">
        <v>235</v>
      </c>
      <c r="CU26" s="50">
        <v>17</v>
      </c>
      <c r="CV26" s="50">
        <v>45</v>
      </c>
      <c r="CW26" s="50">
        <v>44</v>
      </c>
      <c r="CX26" s="50">
        <v>63</v>
      </c>
      <c r="CY26" s="50">
        <v>154</v>
      </c>
      <c r="CZ26" s="50">
        <v>5</v>
      </c>
      <c r="DA26" s="50">
        <v>19</v>
      </c>
      <c r="DB26" s="50">
        <v>299</v>
      </c>
      <c r="DC26" s="60" t="s">
        <v>216</v>
      </c>
      <c r="DD26" s="56">
        <v>19.37</v>
      </c>
      <c r="DE26" s="56">
        <v>10.26</v>
      </c>
      <c r="DF26" s="56">
        <v>3.34</v>
      </c>
      <c r="DG26" s="56">
        <v>74.27</v>
      </c>
      <c r="DH26" s="56">
        <v>87.79</v>
      </c>
      <c r="DI26" s="60" t="s">
        <v>216</v>
      </c>
      <c r="DJ26" s="56">
        <v>404.50000000000006</v>
      </c>
      <c r="DK26" s="56">
        <v>168.041</v>
      </c>
      <c r="DL26" s="56">
        <v>132.12100000000001</v>
      </c>
      <c r="DM26" s="56">
        <v>916.29300000000001</v>
      </c>
      <c r="DN26" s="56">
        <v>5493.884</v>
      </c>
      <c r="DO26" s="56" t="s">
        <v>217</v>
      </c>
      <c r="DP26" s="56" t="s">
        <v>217</v>
      </c>
      <c r="DQ26" s="56" t="s">
        <v>217</v>
      </c>
      <c r="DR26" s="56" t="s">
        <v>217</v>
      </c>
      <c r="DS26" s="56">
        <v>208.75</v>
      </c>
      <c r="DT26" s="48" t="s">
        <v>213</v>
      </c>
      <c r="DU26" s="56">
        <v>267</v>
      </c>
      <c r="DV26" s="49">
        <v>23</v>
      </c>
      <c r="DW26" s="48" t="s">
        <v>213</v>
      </c>
      <c r="DX26" s="49">
        <v>1347</v>
      </c>
      <c r="DY26" s="49">
        <v>134096</v>
      </c>
      <c r="DZ26" s="49">
        <v>18</v>
      </c>
      <c r="EA26" s="49">
        <v>760</v>
      </c>
      <c r="EB26" s="49">
        <v>79611</v>
      </c>
      <c r="EC26" s="49">
        <v>21</v>
      </c>
      <c r="ED26" s="49">
        <v>278</v>
      </c>
      <c r="EE26" s="49">
        <v>41796</v>
      </c>
      <c r="EF26" s="49">
        <v>19</v>
      </c>
      <c r="EG26" s="49">
        <v>91</v>
      </c>
      <c r="EH26" s="49">
        <v>24986</v>
      </c>
      <c r="EI26" s="49">
        <v>44</v>
      </c>
      <c r="EJ26" s="50">
        <v>70</v>
      </c>
      <c r="EK26" s="50">
        <v>24</v>
      </c>
      <c r="EL26" s="56">
        <v>60.3</v>
      </c>
      <c r="EM26" s="56">
        <v>38.6</v>
      </c>
      <c r="EN26" s="56">
        <v>49.2</v>
      </c>
      <c r="EO26" s="48" t="s">
        <v>213</v>
      </c>
      <c r="EP26" s="48" t="s">
        <v>210</v>
      </c>
      <c r="EQ26" s="50">
        <v>1</v>
      </c>
      <c r="ER26" s="50">
        <v>1</v>
      </c>
      <c r="ES26" s="50">
        <v>1</v>
      </c>
      <c r="ET26" s="50">
        <v>16</v>
      </c>
      <c r="EU26" s="50">
        <v>52</v>
      </c>
      <c r="EV26" s="50">
        <v>307</v>
      </c>
      <c r="EW26" s="50">
        <v>15</v>
      </c>
      <c r="EX26" s="50">
        <v>536</v>
      </c>
      <c r="EY26" s="50">
        <v>18</v>
      </c>
      <c r="EZ26" s="50">
        <v>18</v>
      </c>
      <c r="FA26" s="61">
        <v>45352</v>
      </c>
      <c r="FB26" s="50">
        <v>275</v>
      </c>
      <c r="FC26" s="50">
        <v>1941</v>
      </c>
      <c r="FD26" s="50">
        <v>157</v>
      </c>
      <c r="FE26" s="56">
        <v>9350.6548837600003</v>
      </c>
      <c r="FF26" s="56">
        <v>5976.3069693873877</v>
      </c>
      <c r="FG26" s="61">
        <v>45717</v>
      </c>
      <c r="FH26" s="50">
        <v>25</v>
      </c>
      <c r="FI26" s="49">
        <v>139</v>
      </c>
      <c r="FJ26" s="48" t="s">
        <v>213</v>
      </c>
      <c r="FK26" s="49">
        <v>443778</v>
      </c>
      <c r="FL26" s="49">
        <v>61019</v>
      </c>
      <c r="FM26" s="49">
        <v>128662</v>
      </c>
      <c r="FN26" s="49">
        <v>143646</v>
      </c>
      <c r="FO26" s="49">
        <v>6485</v>
      </c>
      <c r="FP26" s="49">
        <v>1009944</v>
      </c>
      <c r="FQ26" s="48" t="s">
        <v>218</v>
      </c>
      <c r="FR26" s="53">
        <v>11.09</v>
      </c>
      <c r="FS26" s="53">
        <v>314.11</v>
      </c>
      <c r="FT26" s="53">
        <v>5.76</v>
      </c>
      <c r="FU26" s="48" t="s">
        <v>213</v>
      </c>
      <c r="FV26" s="50">
        <v>12521</v>
      </c>
      <c r="FW26" s="50">
        <v>0</v>
      </c>
      <c r="FX26" s="51">
        <f t="shared" si="11"/>
        <v>12521</v>
      </c>
      <c r="FY26" s="50">
        <v>0</v>
      </c>
      <c r="FZ26" s="51">
        <f t="shared" si="12"/>
        <v>12521</v>
      </c>
      <c r="GA26" s="48" t="s">
        <v>213</v>
      </c>
      <c r="GB26" s="49">
        <v>10045</v>
      </c>
      <c r="GC26" s="53">
        <v>29875</v>
      </c>
      <c r="GD26" s="49">
        <v>9776</v>
      </c>
      <c r="GE26" s="49">
        <v>27631.47</v>
      </c>
      <c r="GF26" s="54">
        <f t="shared" si="13"/>
        <v>97.322050771528126</v>
      </c>
      <c r="GG26" s="54">
        <f t="shared" si="13"/>
        <v>92.490276150627608</v>
      </c>
      <c r="GH26" s="48" t="s">
        <v>219</v>
      </c>
    </row>
    <row r="27" spans="1:190" ht="21.6" x14ac:dyDescent="0.3">
      <c r="A27" s="48">
        <v>21</v>
      </c>
      <c r="B27" s="48">
        <v>2026</v>
      </c>
      <c r="C27" s="49" t="s">
        <v>241</v>
      </c>
      <c r="D27" s="50">
        <v>5791</v>
      </c>
      <c r="E27" s="49">
        <v>1</v>
      </c>
      <c r="F27" s="49">
        <v>7</v>
      </c>
      <c r="G27" s="49">
        <v>7</v>
      </c>
      <c r="H27" s="49">
        <v>7</v>
      </c>
      <c r="I27" s="49">
        <v>1</v>
      </c>
      <c r="J27" s="49">
        <v>1</v>
      </c>
      <c r="K27" s="49">
        <v>13</v>
      </c>
      <c r="L27" s="49">
        <v>111</v>
      </c>
      <c r="M27" s="49">
        <v>8</v>
      </c>
      <c r="N27" s="49">
        <v>2</v>
      </c>
      <c r="O27" s="50">
        <v>995</v>
      </c>
      <c r="P27" s="50">
        <v>60</v>
      </c>
      <c r="Q27" s="51">
        <f t="shared" si="14"/>
        <v>1055</v>
      </c>
      <c r="R27" s="52" t="s">
        <v>210</v>
      </c>
      <c r="S27" s="53">
        <v>48.7</v>
      </c>
      <c r="T27" s="53">
        <v>29.67</v>
      </c>
      <c r="U27" s="54">
        <f t="shared" si="1"/>
        <v>78.37</v>
      </c>
      <c r="V27" s="53">
        <v>4.13</v>
      </c>
      <c r="W27" s="53">
        <v>1.21</v>
      </c>
      <c r="X27" s="54">
        <f t="shared" si="2"/>
        <v>5.34</v>
      </c>
      <c r="Y27" s="53">
        <v>3.08</v>
      </c>
      <c r="Z27" s="53">
        <v>1.56</v>
      </c>
      <c r="AA27" s="54">
        <f t="shared" si="3"/>
        <v>4.6400000000000006</v>
      </c>
      <c r="AB27" s="53">
        <v>11.98</v>
      </c>
      <c r="AC27" s="53">
        <v>11.96</v>
      </c>
      <c r="AD27" s="54">
        <f t="shared" si="4"/>
        <v>23.94</v>
      </c>
      <c r="AE27" s="55">
        <v>2.68</v>
      </c>
      <c r="AF27" s="55">
        <v>2.95</v>
      </c>
      <c r="AG27" s="54">
        <f t="shared" si="5"/>
        <v>5.6300000000000008</v>
      </c>
      <c r="AH27" s="54">
        <f t="shared" si="6"/>
        <v>70.570000000000007</v>
      </c>
      <c r="AI27" s="54">
        <f t="shared" si="6"/>
        <v>47.350000000000009</v>
      </c>
      <c r="AJ27" s="54">
        <f t="shared" si="6"/>
        <v>117.92</v>
      </c>
      <c r="AK27" s="48" t="s">
        <v>211</v>
      </c>
      <c r="AL27" s="56">
        <v>1571</v>
      </c>
      <c r="AM27" s="56">
        <v>2286.9814285714283</v>
      </c>
      <c r="AN27" s="57">
        <f t="shared" si="7"/>
        <v>715.9814285714283</v>
      </c>
      <c r="AO27" s="58" t="s">
        <v>212</v>
      </c>
      <c r="AP27" s="50">
        <v>3098</v>
      </c>
      <c r="AQ27" s="56">
        <v>6336.0771199999999</v>
      </c>
      <c r="AR27" s="50">
        <v>15939</v>
      </c>
      <c r="AS27" s="52" t="s">
        <v>213</v>
      </c>
      <c r="AT27" s="50">
        <v>0</v>
      </c>
      <c r="AU27" s="56">
        <v>0</v>
      </c>
      <c r="AV27" s="56">
        <v>0</v>
      </c>
      <c r="AW27" s="50">
        <v>0</v>
      </c>
      <c r="AX27" s="52" t="s">
        <v>213</v>
      </c>
      <c r="AY27" s="50">
        <v>94</v>
      </c>
      <c r="AZ27" s="56">
        <v>103.13</v>
      </c>
      <c r="BA27" s="50">
        <v>194</v>
      </c>
      <c r="BB27" s="52" t="s">
        <v>213</v>
      </c>
      <c r="BC27" s="50">
        <v>303</v>
      </c>
      <c r="BD27" s="50">
        <v>310</v>
      </c>
      <c r="BE27" s="51">
        <f t="shared" si="8"/>
        <v>613</v>
      </c>
      <c r="BF27" s="50">
        <v>564</v>
      </c>
      <c r="BG27" s="50">
        <v>49</v>
      </c>
      <c r="BH27" s="48" t="s">
        <v>210</v>
      </c>
      <c r="BI27" s="57">
        <f t="shared" si="9"/>
        <v>92.006525285481246</v>
      </c>
      <c r="BJ27" s="57">
        <f t="shared" si="9"/>
        <v>7.9934747145187597</v>
      </c>
      <c r="BK27" s="57">
        <f t="shared" si="0"/>
        <v>49.429037520391518</v>
      </c>
      <c r="BL27" s="57">
        <f t="shared" si="0"/>
        <v>50.570962479608482</v>
      </c>
      <c r="BM27" s="50">
        <v>1028</v>
      </c>
      <c r="BN27" s="50">
        <v>925</v>
      </c>
      <c r="BO27" s="50">
        <v>1020</v>
      </c>
      <c r="BP27" s="48" t="s">
        <v>210</v>
      </c>
      <c r="BQ27" s="56">
        <v>20</v>
      </c>
      <c r="BR27" s="56">
        <v>43.1</v>
      </c>
      <c r="BS27" s="56">
        <v>21.6</v>
      </c>
      <c r="BT27" s="48" t="s">
        <v>214</v>
      </c>
      <c r="BU27" s="50">
        <v>87</v>
      </c>
      <c r="BV27" s="50">
        <v>106</v>
      </c>
      <c r="BW27" s="56">
        <v>1.4608777226058147</v>
      </c>
      <c r="BX27" s="50">
        <v>55</v>
      </c>
      <c r="BY27" s="50">
        <v>54</v>
      </c>
      <c r="BZ27" s="50">
        <v>109</v>
      </c>
      <c r="CA27" s="48" t="s">
        <v>210</v>
      </c>
      <c r="CB27" s="50">
        <v>336</v>
      </c>
      <c r="CC27" s="50">
        <v>346</v>
      </c>
      <c r="CD27" s="51">
        <f t="shared" si="10"/>
        <v>682</v>
      </c>
      <c r="CE27" s="52" t="s">
        <v>215</v>
      </c>
      <c r="CF27" s="56">
        <v>383.5</v>
      </c>
      <c r="CG27" s="56">
        <v>0</v>
      </c>
      <c r="CH27" s="56">
        <v>33</v>
      </c>
      <c r="CI27" s="56">
        <v>18.61</v>
      </c>
      <c r="CJ27" s="56">
        <v>6.93</v>
      </c>
      <c r="CK27" s="56">
        <v>3.43</v>
      </c>
      <c r="CL27" s="56">
        <v>0.46</v>
      </c>
      <c r="CM27" s="56">
        <v>6.33</v>
      </c>
      <c r="CN27" s="59">
        <v>40.21</v>
      </c>
      <c r="CO27" s="59">
        <v>0.25</v>
      </c>
      <c r="CP27" s="59">
        <v>0</v>
      </c>
      <c r="CQ27" s="55">
        <v>6.41</v>
      </c>
      <c r="CR27" s="55">
        <v>0.74</v>
      </c>
      <c r="CS27" s="60" t="s">
        <v>216</v>
      </c>
      <c r="CT27" s="50">
        <v>354</v>
      </c>
      <c r="CU27" s="50">
        <v>1</v>
      </c>
      <c r="CV27" s="50">
        <v>21</v>
      </c>
      <c r="CW27" s="50">
        <v>4</v>
      </c>
      <c r="CX27" s="50">
        <v>14</v>
      </c>
      <c r="CY27" s="50">
        <v>28</v>
      </c>
      <c r="CZ27" s="50">
        <v>0</v>
      </c>
      <c r="DA27" s="50">
        <v>15</v>
      </c>
      <c r="DB27" s="50">
        <v>142</v>
      </c>
      <c r="DC27" s="60" t="s">
        <v>216</v>
      </c>
      <c r="DD27" s="56">
        <v>7.77</v>
      </c>
      <c r="DE27" s="56">
        <v>3.17</v>
      </c>
      <c r="DF27" s="56">
        <v>0.65</v>
      </c>
      <c r="DG27" s="56">
        <v>39.380000000000003</v>
      </c>
      <c r="DH27" s="56">
        <v>50.98</v>
      </c>
      <c r="DI27" s="60" t="s">
        <v>216</v>
      </c>
      <c r="DJ27" s="56">
        <v>160.69999999999999</v>
      </c>
      <c r="DK27" s="56">
        <v>86.86</v>
      </c>
      <c r="DL27" s="56">
        <v>83.429000000000002</v>
      </c>
      <c r="DM27" s="56">
        <v>321.47699999999998</v>
      </c>
      <c r="DN27" s="56">
        <v>3602.7040000000002</v>
      </c>
      <c r="DO27" s="56" t="s">
        <v>217</v>
      </c>
      <c r="DP27" s="56" t="s">
        <v>217</v>
      </c>
      <c r="DQ27" s="56" t="s">
        <v>217</v>
      </c>
      <c r="DR27" s="56" t="s">
        <v>217</v>
      </c>
      <c r="DS27" s="56">
        <v>113.53</v>
      </c>
      <c r="DT27" s="48" t="s">
        <v>213</v>
      </c>
      <c r="DU27" s="56">
        <v>0</v>
      </c>
      <c r="DV27" s="49">
        <v>0</v>
      </c>
      <c r="DW27" s="48" t="s">
        <v>213</v>
      </c>
      <c r="DX27" s="49">
        <v>796</v>
      </c>
      <c r="DY27" s="49">
        <v>65260</v>
      </c>
      <c r="DZ27" s="49">
        <v>15</v>
      </c>
      <c r="EA27" s="49">
        <v>406</v>
      </c>
      <c r="EB27" s="49">
        <v>43770</v>
      </c>
      <c r="EC27" s="49">
        <v>23</v>
      </c>
      <c r="ED27" s="49">
        <v>125</v>
      </c>
      <c r="EE27" s="49">
        <v>20845</v>
      </c>
      <c r="EF27" s="49">
        <v>22</v>
      </c>
      <c r="EG27" s="49">
        <v>45</v>
      </c>
      <c r="EH27" s="49">
        <v>12479</v>
      </c>
      <c r="EI27" s="49">
        <v>43</v>
      </c>
      <c r="EJ27" s="50">
        <v>32</v>
      </c>
      <c r="EK27" s="50">
        <v>11</v>
      </c>
      <c r="EL27" s="56">
        <v>59.1</v>
      </c>
      <c r="EM27" s="56">
        <v>38.299999999999997</v>
      </c>
      <c r="EN27" s="56">
        <v>48.5</v>
      </c>
      <c r="EO27" s="48" t="s">
        <v>213</v>
      </c>
      <c r="EP27" s="48" t="s">
        <v>210</v>
      </c>
      <c r="EQ27" s="50">
        <v>1</v>
      </c>
      <c r="ER27" s="50">
        <v>0</v>
      </c>
      <c r="ES27" s="50">
        <v>1</v>
      </c>
      <c r="ET27" s="50">
        <v>6</v>
      </c>
      <c r="EU27" s="50">
        <v>28</v>
      </c>
      <c r="EV27" s="50">
        <v>158</v>
      </c>
      <c r="EW27" s="50">
        <v>10</v>
      </c>
      <c r="EX27" s="50">
        <v>326</v>
      </c>
      <c r="EY27" s="50">
        <v>7</v>
      </c>
      <c r="EZ27" s="50">
        <v>8</v>
      </c>
      <c r="FA27" s="61">
        <v>45352</v>
      </c>
      <c r="FB27" s="50">
        <v>151</v>
      </c>
      <c r="FC27" s="50">
        <v>995</v>
      </c>
      <c r="FD27" s="50">
        <v>66</v>
      </c>
      <c r="FE27" s="56">
        <v>2837.862987258</v>
      </c>
      <c r="FF27" s="56">
        <v>1569.5115343348864</v>
      </c>
      <c r="FG27" s="61">
        <v>45717</v>
      </c>
      <c r="FH27" s="50">
        <v>13</v>
      </c>
      <c r="FI27" s="49">
        <v>63</v>
      </c>
      <c r="FJ27" s="48" t="s">
        <v>213</v>
      </c>
      <c r="FK27" s="49">
        <v>300811</v>
      </c>
      <c r="FL27" s="49">
        <v>6400</v>
      </c>
      <c r="FM27" s="49">
        <v>20532</v>
      </c>
      <c r="FN27" s="49">
        <v>126516</v>
      </c>
      <c r="FO27" s="49">
        <v>17040</v>
      </c>
      <c r="FP27" s="49">
        <v>598650</v>
      </c>
      <c r="FQ27" s="48" t="s">
        <v>218</v>
      </c>
      <c r="FR27" s="53">
        <v>23.080000000000002</v>
      </c>
      <c r="FS27" s="53">
        <v>99.19</v>
      </c>
      <c r="FT27" s="53">
        <v>3.8899999999999997</v>
      </c>
      <c r="FU27" s="48" t="s">
        <v>213</v>
      </c>
      <c r="FV27" s="50">
        <v>15601</v>
      </c>
      <c r="FW27" s="50">
        <v>0</v>
      </c>
      <c r="FX27" s="51">
        <f t="shared" si="11"/>
        <v>15601</v>
      </c>
      <c r="FY27" s="50">
        <v>0</v>
      </c>
      <c r="FZ27" s="51">
        <f t="shared" si="12"/>
        <v>15601</v>
      </c>
      <c r="GA27" s="48" t="s">
        <v>213</v>
      </c>
      <c r="GB27" s="49">
        <v>4920</v>
      </c>
      <c r="GC27" s="53">
        <v>14820</v>
      </c>
      <c r="GD27" s="49">
        <v>5316</v>
      </c>
      <c r="GE27" s="49">
        <v>16489.45</v>
      </c>
      <c r="GF27" s="54">
        <f t="shared" si="13"/>
        <v>108.04878048780489</v>
      </c>
      <c r="GG27" s="54">
        <f t="shared" si="13"/>
        <v>111.26484480431849</v>
      </c>
      <c r="GH27" s="48" t="s">
        <v>219</v>
      </c>
    </row>
    <row r="28" spans="1:190" ht="21.6" x14ac:dyDescent="0.3">
      <c r="A28" s="48">
        <v>22</v>
      </c>
      <c r="B28" s="48">
        <v>2026</v>
      </c>
      <c r="C28" s="49" t="s">
        <v>242</v>
      </c>
      <c r="D28" s="50">
        <v>10418</v>
      </c>
      <c r="E28" s="49">
        <v>4</v>
      </c>
      <c r="F28" s="49">
        <v>26</v>
      </c>
      <c r="G28" s="49">
        <v>26</v>
      </c>
      <c r="H28" s="49">
        <v>26</v>
      </c>
      <c r="I28" s="49">
        <v>2</v>
      </c>
      <c r="J28" s="49">
        <v>2</v>
      </c>
      <c r="K28" s="49">
        <v>34</v>
      </c>
      <c r="L28" s="49">
        <v>404</v>
      </c>
      <c r="M28" s="49">
        <v>26</v>
      </c>
      <c r="N28" s="49">
        <v>9</v>
      </c>
      <c r="O28" s="50">
        <v>3751</v>
      </c>
      <c r="P28" s="50">
        <v>199</v>
      </c>
      <c r="Q28" s="51">
        <f t="shared" si="14"/>
        <v>3950</v>
      </c>
      <c r="R28" s="52" t="s">
        <v>210</v>
      </c>
      <c r="S28" s="53">
        <v>90.03</v>
      </c>
      <c r="T28" s="53">
        <v>10.81</v>
      </c>
      <c r="U28" s="54">
        <f t="shared" si="1"/>
        <v>100.84</v>
      </c>
      <c r="V28" s="53">
        <v>16.09</v>
      </c>
      <c r="W28" s="53">
        <v>0.3</v>
      </c>
      <c r="X28" s="54">
        <f t="shared" si="2"/>
        <v>16.39</v>
      </c>
      <c r="Y28" s="53">
        <v>24.76</v>
      </c>
      <c r="Z28" s="53">
        <v>2.39</v>
      </c>
      <c r="AA28" s="54">
        <f t="shared" si="3"/>
        <v>27.150000000000002</v>
      </c>
      <c r="AB28" s="53">
        <v>75.039999999999992</v>
      </c>
      <c r="AC28" s="53">
        <v>29.58</v>
      </c>
      <c r="AD28" s="54">
        <f t="shared" si="4"/>
        <v>104.61999999999999</v>
      </c>
      <c r="AE28" s="55">
        <v>22.14</v>
      </c>
      <c r="AF28" s="55">
        <v>55.5</v>
      </c>
      <c r="AG28" s="54">
        <f t="shared" si="5"/>
        <v>77.64</v>
      </c>
      <c r="AH28" s="54">
        <f t="shared" si="6"/>
        <v>228.06</v>
      </c>
      <c r="AI28" s="54">
        <f t="shared" si="6"/>
        <v>98.58</v>
      </c>
      <c r="AJ28" s="54">
        <f t="shared" si="6"/>
        <v>326.64</v>
      </c>
      <c r="AK28" s="48" t="s">
        <v>211</v>
      </c>
      <c r="AL28" s="56">
        <v>1522.7</v>
      </c>
      <c r="AM28" s="56">
        <v>1495.853846153846</v>
      </c>
      <c r="AN28" s="57">
        <f t="shared" si="7"/>
        <v>-26.846153846154039</v>
      </c>
      <c r="AO28" s="58" t="s">
        <v>212</v>
      </c>
      <c r="AP28" s="50">
        <v>12683</v>
      </c>
      <c r="AQ28" s="56">
        <v>30282.212439999999</v>
      </c>
      <c r="AR28" s="50">
        <v>77580</v>
      </c>
      <c r="AS28" s="52" t="s">
        <v>213</v>
      </c>
      <c r="AT28" s="50">
        <v>627</v>
      </c>
      <c r="AU28" s="56">
        <v>429</v>
      </c>
      <c r="AV28" s="56">
        <v>1.65</v>
      </c>
      <c r="AW28" s="50">
        <v>650</v>
      </c>
      <c r="AX28" s="52" t="s">
        <v>213</v>
      </c>
      <c r="AY28" s="50">
        <v>416</v>
      </c>
      <c r="AZ28" s="56">
        <v>431</v>
      </c>
      <c r="BA28" s="50">
        <v>478</v>
      </c>
      <c r="BB28" s="52" t="s">
        <v>213</v>
      </c>
      <c r="BC28" s="50">
        <v>1256</v>
      </c>
      <c r="BD28" s="50">
        <v>1264</v>
      </c>
      <c r="BE28" s="51">
        <f t="shared" si="8"/>
        <v>2520</v>
      </c>
      <c r="BF28" s="50">
        <v>2327</v>
      </c>
      <c r="BG28" s="50">
        <v>193</v>
      </c>
      <c r="BH28" s="48" t="s">
        <v>210</v>
      </c>
      <c r="BI28" s="57">
        <f t="shared" si="9"/>
        <v>92.341269841269849</v>
      </c>
      <c r="BJ28" s="57">
        <f t="shared" si="9"/>
        <v>7.6587301587301591</v>
      </c>
      <c r="BK28" s="57">
        <f t="shared" si="0"/>
        <v>49.841269841269842</v>
      </c>
      <c r="BL28" s="57">
        <f t="shared" si="0"/>
        <v>50.158730158730158</v>
      </c>
      <c r="BM28" s="50">
        <v>1010</v>
      </c>
      <c r="BN28" s="50">
        <v>956</v>
      </c>
      <c r="BO28" s="50">
        <v>1006</v>
      </c>
      <c r="BP28" s="48" t="s">
        <v>210</v>
      </c>
      <c r="BQ28" s="56">
        <v>12.5</v>
      </c>
      <c r="BR28" s="56">
        <v>23.9</v>
      </c>
      <c r="BS28" s="56">
        <v>13.3</v>
      </c>
      <c r="BT28" s="48" t="s">
        <v>214</v>
      </c>
      <c r="BU28" s="50">
        <v>213</v>
      </c>
      <c r="BV28" s="50">
        <v>242</v>
      </c>
      <c r="BW28" s="56">
        <v>6.0030612124804801</v>
      </c>
      <c r="BX28" s="50">
        <v>180</v>
      </c>
      <c r="BY28" s="50">
        <v>172</v>
      </c>
      <c r="BZ28" s="50">
        <v>352</v>
      </c>
      <c r="CA28" s="48" t="s">
        <v>210</v>
      </c>
      <c r="CB28" s="50">
        <v>1402</v>
      </c>
      <c r="CC28" s="50">
        <v>1421</v>
      </c>
      <c r="CD28" s="51">
        <f t="shared" si="10"/>
        <v>2823</v>
      </c>
      <c r="CE28" s="52" t="s">
        <v>215</v>
      </c>
      <c r="CF28" s="56">
        <v>1018.79</v>
      </c>
      <c r="CG28" s="56">
        <v>0.63</v>
      </c>
      <c r="CH28" s="56">
        <v>12.77</v>
      </c>
      <c r="CI28" s="56">
        <v>10.58</v>
      </c>
      <c r="CJ28" s="56">
        <v>15.69</v>
      </c>
      <c r="CK28" s="56">
        <v>7.07</v>
      </c>
      <c r="CL28" s="56">
        <v>2.3199999999999998</v>
      </c>
      <c r="CM28" s="56">
        <v>1.99</v>
      </c>
      <c r="CN28" s="59">
        <v>9.5500000000000007</v>
      </c>
      <c r="CO28" s="59">
        <v>2.6</v>
      </c>
      <c r="CP28" s="59">
        <v>0.49</v>
      </c>
      <c r="CQ28" s="55">
        <v>17.260000000000002</v>
      </c>
      <c r="CR28" s="55">
        <v>0</v>
      </c>
      <c r="CS28" s="60" t="s">
        <v>216</v>
      </c>
      <c r="CT28" s="50">
        <v>446</v>
      </c>
      <c r="CU28" s="50">
        <v>41</v>
      </c>
      <c r="CV28" s="50">
        <v>28</v>
      </c>
      <c r="CW28" s="50">
        <v>10</v>
      </c>
      <c r="CX28" s="50">
        <v>51</v>
      </c>
      <c r="CY28" s="50">
        <v>16</v>
      </c>
      <c r="CZ28" s="50">
        <v>65</v>
      </c>
      <c r="DA28" s="50">
        <v>13</v>
      </c>
      <c r="DB28" s="50">
        <v>372</v>
      </c>
      <c r="DC28" s="60" t="s">
        <v>216</v>
      </c>
      <c r="DD28" s="56">
        <v>16.25</v>
      </c>
      <c r="DE28" s="56">
        <v>9.1300000000000008</v>
      </c>
      <c r="DF28" s="56">
        <v>2.76</v>
      </c>
      <c r="DG28" s="56">
        <v>39.369999999999997</v>
      </c>
      <c r="DH28" s="56">
        <v>60.47</v>
      </c>
      <c r="DI28" s="60" t="s">
        <v>216</v>
      </c>
      <c r="DJ28" s="56">
        <v>284.60000000000002</v>
      </c>
      <c r="DK28" s="56">
        <v>240.202</v>
      </c>
      <c r="DL28" s="56">
        <v>139.72800000000001</v>
      </c>
      <c r="DM28" s="56">
        <v>957.23800000000006</v>
      </c>
      <c r="DN28" s="56">
        <v>7174.7430000000004</v>
      </c>
      <c r="DO28" s="56" t="s">
        <v>217</v>
      </c>
      <c r="DP28" s="56" t="s">
        <v>217</v>
      </c>
      <c r="DQ28" s="56" t="s">
        <v>217</v>
      </c>
      <c r="DR28" s="56" t="s">
        <v>217</v>
      </c>
      <c r="DS28" s="56">
        <v>1110.93</v>
      </c>
      <c r="DT28" s="48" t="s">
        <v>213</v>
      </c>
      <c r="DU28" s="56">
        <v>140</v>
      </c>
      <c r="DV28" s="49">
        <v>19</v>
      </c>
      <c r="DW28" s="48" t="s">
        <v>213</v>
      </c>
      <c r="DX28" s="49">
        <v>2559</v>
      </c>
      <c r="DY28" s="49">
        <v>204831</v>
      </c>
      <c r="DZ28" s="49">
        <v>16</v>
      </c>
      <c r="EA28" s="49">
        <v>1344</v>
      </c>
      <c r="EB28" s="49">
        <v>128584</v>
      </c>
      <c r="EC28" s="49">
        <v>17</v>
      </c>
      <c r="ED28" s="49">
        <v>643</v>
      </c>
      <c r="EE28" s="49">
        <v>71814</v>
      </c>
      <c r="EF28" s="49">
        <v>14</v>
      </c>
      <c r="EG28" s="49">
        <v>171</v>
      </c>
      <c r="EH28" s="49">
        <v>56913</v>
      </c>
      <c r="EI28" s="49">
        <v>37</v>
      </c>
      <c r="EJ28" s="50">
        <v>141</v>
      </c>
      <c r="EK28" s="50">
        <v>61</v>
      </c>
      <c r="EL28" s="56">
        <v>73.8</v>
      </c>
      <c r="EM28" s="56">
        <v>52.7</v>
      </c>
      <c r="EN28" s="56">
        <v>63.2</v>
      </c>
      <c r="EO28" s="48" t="s">
        <v>213</v>
      </c>
      <c r="EP28" s="48" t="s">
        <v>210</v>
      </c>
      <c r="EQ28" s="50">
        <v>1</v>
      </c>
      <c r="ER28" s="50">
        <v>1</v>
      </c>
      <c r="ES28" s="50">
        <v>1</v>
      </c>
      <c r="ET28" s="50">
        <v>28</v>
      </c>
      <c r="EU28" s="50">
        <v>90</v>
      </c>
      <c r="EV28" s="50">
        <v>589</v>
      </c>
      <c r="EW28" s="50">
        <v>20</v>
      </c>
      <c r="EX28" s="50">
        <v>843</v>
      </c>
      <c r="EY28" s="50">
        <v>45</v>
      </c>
      <c r="EZ28" s="50">
        <v>44</v>
      </c>
      <c r="FA28" s="61">
        <v>45352</v>
      </c>
      <c r="FB28" s="50">
        <v>718</v>
      </c>
      <c r="FC28" s="50">
        <v>3751</v>
      </c>
      <c r="FD28" s="50">
        <v>311</v>
      </c>
      <c r="FE28" s="56">
        <v>17944.515189428002</v>
      </c>
      <c r="FF28" s="56">
        <v>8667.6338625843309</v>
      </c>
      <c r="FG28" s="61">
        <v>45717</v>
      </c>
      <c r="FH28" s="50">
        <v>42</v>
      </c>
      <c r="FI28" s="49">
        <v>175</v>
      </c>
      <c r="FJ28" s="48" t="s">
        <v>213</v>
      </c>
      <c r="FK28" s="49">
        <v>673442</v>
      </c>
      <c r="FL28" s="49">
        <v>8569</v>
      </c>
      <c r="FM28" s="49">
        <v>98674</v>
      </c>
      <c r="FN28" s="49">
        <v>1050151</v>
      </c>
      <c r="FO28" s="49">
        <v>18324</v>
      </c>
      <c r="FP28" s="49">
        <v>3761128</v>
      </c>
      <c r="FQ28" s="48" t="s">
        <v>218</v>
      </c>
      <c r="FR28" s="53">
        <v>99.06</v>
      </c>
      <c r="FS28" s="53">
        <v>1341.7000000000003</v>
      </c>
      <c r="FT28" s="53">
        <v>14.09</v>
      </c>
      <c r="FU28" s="48" t="s">
        <v>213</v>
      </c>
      <c r="FV28" s="50">
        <v>43530</v>
      </c>
      <c r="FW28" s="50">
        <v>0</v>
      </c>
      <c r="FX28" s="51">
        <f t="shared" si="11"/>
        <v>43530</v>
      </c>
      <c r="FY28" s="50">
        <v>0</v>
      </c>
      <c r="FZ28" s="51">
        <f t="shared" si="12"/>
        <v>43530</v>
      </c>
      <c r="GA28" s="48" t="s">
        <v>213</v>
      </c>
      <c r="GB28" s="49">
        <v>26535</v>
      </c>
      <c r="GC28" s="53">
        <v>100875</v>
      </c>
      <c r="GD28" s="49">
        <v>26529</v>
      </c>
      <c r="GE28" s="49">
        <v>107441.05</v>
      </c>
      <c r="GF28" s="54">
        <f t="shared" si="13"/>
        <v>99.97738835500283</v>
      </c>
      <c r="GG28" s="54">
        <f t="shared" si="13"/>
        <v>106.50909541511773</v>
      </c>
      <c r="GH28" s="48" t="s">
        <v>219</v>
      </c>
    </row>
    <row r="29" spans="1:190" ht="21.6" x14ac:dyDescent="0.3">
      <c r="A29" s="48">
        <v>23</v>
      </c>
      <c r="B29" s="48">
        <v>2026</v>
      </c>
      <c r="C29" s="49" t="s">
        <v>243</v>
      </c>
      <c r="D29" s="50">
        <v>5291</v>
      </c>
      <c r="E29" s="49">
        <v>1</v>
      </c>
      <c r="F29" s="49">
        <v>10</v>
      </c>
      <c r="G29" s="49">
        <v>10</v>
      </c>
      <c r="H29" s="49">
        <v>10</v>
      </c>
      <c r="I29" s="49">
        <v>2</v>
      </c>
      <c r="J29" s="49">
        <v>0</v>
      </c>
      <c r="K29" s="49">
        <v>14</v>
      </c>
      <c r="L29" s="49">
        <v>189</v>
      </c>
      <c r="M29" s="49">
        <v>10</v>
      </c>
      <c r="N29" s="49">
        <v>4</v>
      </c>
      <c r="O29" s="50">
        <v>868</v>
      </c>
      <c r="P29" s="50">
        <v>23</v>
      </c>
      <c r="Q29" s="51">
        <f t="shared" si="14"/>
        <v>891</v>
      </c>
      <c r="R29" s="52" t="s">
        <v>210</v>
      </c>
      <c r="S29" s="53">
        <v>5.56</v>
      </c>
      <c r="T29" s="53">
        <v>0.26</v>
      </c>
      <c r="U29" s="54">
        <f t="shared" si="1"/>
        <v>5.8199999999999994</v>
      </c>
      <c r="V29" s="53">
        <v>0.8</v>
      </c>
      <c r="W29" s="53">
        <v>1.04</v>
      </c>
      <c r="X29" s="54">
        <f t="shared" si="2"/>
        <v>1.84</v>
      </c>
      <c r="Y29" s="53">
        <v>4.25</v>
      </c>
      <c r="Z29" s="53">
        <v>0.56999999999999995</v>
      </c>
      <c r="AA29" s="54">
        <f t="shared" si="3"/>
        <v>4.82</v>
      </c>
      <c r="AB29" s="53">
        <v>28.49</v>
      </c>
      <c r="AC29" s="53">
        <v>24.81</v>
      </c>
      <c r="AD29" s="54">
        <f t="shared" si="4"/>
        <v>53.3</v>
      </c>
      <c r="AE29" s="55">
        <v>23.02</v>
      </c>
      <c r="AF29" s="55">
        <v>17.21</v>
      </c>
      <c r="AG29" s="54">
        <f t="shared" si="5"/>
        <v>40.230000000000004</v>
      </c>
      <c r="AH29" s="54">
        <f t="shared" si="6"/>
        <v>62.11999999999999</v>
      </c>
      <c r="AI29" s="54">
        <f t="shared" si="6"/>
        <v>43.89</v>
      </c>
      <c r="AJ29" s="54">
        <f t="shared" si="6"/>
        <v>106.01</v>
      </c>
      <c r="AK29" s="48" t="s">
        <v>211</v>
      </c>
      <c r="AL29" s="56">
        <v>1598.4</v>
      </c>
      <c r="AM29" s="56">
        <v>1439.7949999999998</v>
      </c>
      <c r="AN29" s="57">
        <f t="shared" si="7"/>
        <v>-158.60500000000025</v>
      </c>
      <c r="AO29" s="58" t="s">
        <v>212</v>
      </c>
      <c r="AP29" s="50">
        <v>3889</v>
      </c>
      <c r="AQ29" s="56">
        <v>11874.617899999999</v>
      </c>
      <c r="AR29" s="50">
        <v>46240</v>
      </c>
      <c r="AS29" s="52" t="s">
        <v>213</v>
      </c>
      <c r="AT29" s="50">
        <v>133</v>
      </c>
      <c r="AU29" s="56">
        <v>16</v>
      </c>
      <c r="AV29" s="56">
        <v>0.08</v>
      </c>
      <c r="AW29" s="50">
        <v>366</v>
      </c>
      <c r="AX29" s="52" t="s">
        <v>213</v>
      </c>
      <c r="AY29" s="50">
        <v>55</v>
      </c>
      <c r="AZ29" s="56">
        <v>21.5</v>
      </c>
      <c r="BA29" s="50">
        <v>296</v>
      </c>
      <c r="BB29" s="52" t="s">
        <v>213</v>
      </c>
      <c r="BC29" s="50">
        <v>605</v>
      </c>
      <c r="BD29" s="50">
        <v>616</v>
      </c>
      <c r="BE29" s="51">
        <f t="shared" si="8"/>
        <v>1221</v>
      </c>
      <c r="BF29" s="50">
        <v>1133</v>
      </c>
      <c r="BG29" s="50">
        <v>88</v>
      </c>
      <c r="BH29" s="48" t="s">
        <v>210</v>
      </c>
      <c r="BI29" s="57">
        <f t="shared" si="9"/>
        <v>92.792792792792795</v>
      </c>
      <c r="BJ29" s="57">
        <f t="shared" si="9"/>
        <v>7.2072072072072073</v>
      </c>
      <c r="BK29" s="57">
        <f t="shared" si="0"/>
        <v>49.549549549549546</v>
      </c>
      <c r="BL29" s="57">
        <f t="shared" si="0"/>
        <v>50.450450450450447</v>
      </c>
      <c r="BM29" s="50">
        <v>1021</v>
      </c>
      <c r="BN29" s="50">
        <v>990</v>
      </c>
      <c r="BO29" s="50">
        <v>1019</v>
      </c>
      <c r="BP29" s="48" t="s">
        <v>210</v>
      </c>
      <c r="BQ29" s="56">
        <v>17.3</v>
      </c>
      <c r="BR29" s="56">
        <v>47.8</v>
      </c>
      <c r="BS29" s="56">
        <v>19</v>
      </c>
      <c r="BT29" s="48" t="s">
        <v>214</v>
      </c>
      <c r="BU29" s="50">
        <v>194</v>
      </c>
      <c r="BV29" s="50">
        <v>231</v>
      </c>
      <c r="BW29" s="56">
        <v>2.9087998732936491</v>
      </c>
      <c r="BX29" s="50">
        <v>104</v>
      </c>
      <c r="BY29" s="50">
        <v>104</v>
      </c>
      <c r="BZ29" s="50">
        <v>208</v>
      </c>
      <c r="CA29" s="48" t="s">
        <v>210</v>
      </c>
      <c r="CB29" s="50">
        <v>672</v>
      </c>
      <c r="CC29" s="50">
        <v>690</v>
      </c>
      <c r="CD29" s="51">
        <f t="shared" si="10"/>
        <v>1362</v>
      </c>
      <c r="CE29" s="52" t="s">
        <v>215</v>
      </c>
      <c r="CF29" s="56">
        <v>601.79</v>
      </c>
      <c r="CG29" s="56">
        <v>0.09</v>
      </c>
      <c r="CH29" s="56">
        <v>308.76</v>
      </c>
      <c r="CI29" s="56">
        <v>11.24</v>
      </c>
      <c r="CJ29" s="56">
        <v>7.5</v>
      </c>
      <c r="CK29" s="56">
        <v>3.18</v>
      </c>
      <c r="CL29" s="56">
        <v>1.43</v>
      </c>
      <c r="CM29" s="56">
        <v>0.33</v>
      </c>
      <c r="CN29" s="59">
        <v>2.82</v>
      </c>
      <c r="CO29" s="59">
        <v>0.95</v>
      </c>
      <c r="CP29" s="59">
        <v>0</v>
      </c>
      <c r="CQ29" s="55">
        <v>5.78</v>
      </c>
      <c r="CR29" s="55">
        <v>439</v>
      </c>
      <c r="CS29" s="60" t="s">
        <v>216</v>
      </c>
      <c r="CT29" s="50">
        <v>282</v>
      </c>
      <c r="CU29" s="50">
        <v>13</v>
      </c>
      <c r="CV29" s="50">
        <v>8</v>
      </c>
      <c r="CW29" s="50">
        <v>15</v>
      </c>
      <c r="CX29" s="50">
        <v>8</v>
      </c>
      <c r="CY29" s="50">
        <v>9</v>
      </c>
      <c r="CZ29" s="50">
        <v>0</v>
      </c>
      <c r="DA29" s="50">
        <v>8</v>
      </c>
      <c r="DB29" s="50">
        <v>186</v>
      </c>
      <c r="DC29" s="60" t="s">
        <v>216</v>
      </c>
      <c r="DD29" s="56">
        <v>48.58</v>
      </c>
      <c r="DE29" s="56">
        <v>14.56</v>
      </c>
      <c r="DF29" s="56">
        <v>5.37</v>
      </c>
      <c r="DG29" s="56">
        <v>27.22</v>
      </c>
      <c r="DH29" s="56">
        <v>250.12</v>
      </c>
      <c r="DI29" s="60" t="s">
        <v>216</v>
      </c>
      <c r="DJ29" s="56">
        <v>166.34</v>
      </c>
      <c r="DK29" s="56">
        <v>122.59399999999999</v>
      </c>
      <c r="DL29" s="56">
        <v>63.795999999999999</v>
      </c>
      <c r="DM29" s="56">
        <v>572.46500000000003</v>
      </c>
      <c r="DN29" s="56">
        <v>3946.8879999999999</v>
      </c>
      <c r="DO29" s="56" t="s">
        <v>217</v>
      </c>
      <c r="DP29" s="56" t="s">
        <v>217</v>
      </c>
      <c r="DQ29" s="56" t="s">
        <v>217</v>
      </c>
      <c r="DR29" s="56" t="s">
        <v>217</v>
      </c>
      <c r="DS29" s="56">
        <v>136.47</v>
      </c>
      <c r="DT29" s="48" t="s">
        <v>213</v>
      </c>
      <c r="DU29" s="56">
        <v>0</v>
      </c>
      <c r="DV29" s="49">
        <v>0</v>
      </c>
      <c r="DW29" s="48" t="s">
        <v>213</v>
      </c>
      <c r="DX29" s="49">
        <v>1099</v>
      </c>
      <c r="DY29" s="49">
        <v>130391</v>
      </c>
      <c r="DZ29" s="49">
        <v>22</v>
      </c>
      <c r="EA29" s="49">
        <v>580</v>
      </c>
      <c r="EB29" s="49">
        <v>78668</v>
      </c>
      <c r="EC29" s="49">
        <v>23</v>
      </c>
      <c r="ED29" s="49">
        <v>223</v>
      </c>
      <c r="EE29" s="49">
        <v>47247</v>
      </c>
      <c r="EF29" s="49">
        <v>28</v>
      </c>
      <c r="EG29" s="49">
        <v>63</v>
      </c>
      <c r="EH29" s="49">
        <v>17965</v>
      </c>
      <c r="EI29" s="49">
        <v>45</v>
      </c>
      <c r="EJ29" s="50">
        <v>68</v>
      </c>
      <c r="EK29" s="50">
        <v>19</v>
      </c>
      <c r="EL29" s="56">
        <v>57.3</v>
      </c>
      <c r="EM29" s="56">
        <v>35.799999999999997</v>
      </c>
      <c r="EN29" s="56">
        <v>46.4</v>
      </c>
      <c r="EO29" s="48" t="s">
        <v>213</v>
      </c>
      <c r="EP29" s="48" t="s">
        <v>210</v>
      </c>
      <c r="EQ29" s="50">
        <v>1</v>
      </c>
      <c r="ER29" s="50">
        <v>0</v>
      </c>
      <c r="ES29" s="50">
        <v>1</v>
      </c>
      <c r="ET29" s="50">
        <v>10</v>
      </c>
      <c r="EU29" s="50">
        <v>42</v>
      </c>
      <c r="EV29" s="50">
        <v>289</v>
      </c>
      <c r="EW29" s="50">
        <v>11</v>
      </c>
      <c r="EX29" s="50">
        <v>360</v>
      </c>
      <c r="EY29" s="50">
        <v>22</v>
      </c>
      <c r="EZ29" s="50">
        <v>16</v>
      </c>
      <c r="FA29" s="61">
        <v>45352</v>
      </c>
      <c r="FB29" s="50">
        <v>201</v>
      </c>
      <c r="FC29" s="50">
        <v>868</v>
      </c>
      <c r="FD29" s="50">
        <v>79</v>
      </c>
      <c r="FE29" s="56">
        <v>3012.4026558870005</v>
      </c>
      <c r="FF29" s="56">
        <v>1968.8572082387732</v>
      </c>
      <c r="FG29" s="61">
        <v>45717</v>
      </c>
      <c r="FH29" s="50">
        <v>16</v>
      </c>
      <c r="FI29" s="49">
        <v>80</v>
      </c>
      <c r="FJ29" s="48" t="s">
        <v>213</v>
      </c>
      <c r="FK29" s="49">
        <v>338681</v>
      </c>
      <c r="FL29" s="49">
        <v>27882</v>
      </c>
      <c r="FM29" s="49">
        <v>102986</v>
      </c>
      <c r="FN29" s="49">
        <v>63027</v>
      </c>
      <c r="FO29" s="49">
        <v>3929</v>
      </c>
      <c r="FP29" s="49">
        <v>664686</v>
      </c>
      <c r="FQ29" s="48" t="s">
        <v>218</v>
      </c>
      <c r="FR29" s="53">
        <v>23.12</v>
      </c>
      <c r="FS29" s="53">
        <v>232.31</v>
      </c>
      <c r="FT29" s="53">
        <v>3.3600000000000003</v>
      </c>
      <c r="FU29" s="48" t="s">
        <v>213</v>
      </c>
      <c r="FV29" s="50">
        <v>12458</v>
      </c>
      <c r="FW29" s="50">
        <v>0</v>
      </c>
      <c r="FX29" s="51">
        <f t="shared" si="11"/>
        <v>12458</v>
      </c>
      <c r="FY29" s="50">
        <v>0</v>
      </c>
      <c r="FZ29" s="51">
        <f t="shared" si="12"/>
        <v>12458</v>
      </c>
      <c r="GA29" s="48" t="s">
        <v>213</v>
      </c>
      <c r="GB29" s="49">
        <v>7290</v>
      </c>
      <c r="GC29" s="53">
        <v>22039.86</v>
      </c>
      <c r="GD29" s="49">
        <v>7668</v>
      </c>
      <c r="GE29" s="49">
        <v>22644.240000000002</v>
      </c>
      <c r="GF29" s="54">
        <f t="shared" si="13"/>
        <v>105.18518518518518</v>
      </c>
      <c r="GG29" s="54">
        <f t="shared" si="13"/>
        <v>102.74221342603811</v>
      </c>
      <c r="GH29" s="48" t="s">
        <v>219</v>
      </c>
    </row>
    <row r="30" spans="1:190" ht="21.6" x14ac:dyDescent="0.3">
      <c r="A30" s="48">
        <v>24</v>
      </c>
      <c r="B30" s="48">
        <v>2026</v>
      </c>
      <c r="C30" s="49" t="s">
        <v>244</v>
      </c>
      <c r="D30" s="50">
        <v>3890</v>
      </c>
      <c r="E30" s="49">
        <v>1</v>
      </c>
      <c r="F30" s="49">
        <v>8</v>
      </c>
      <c r="G30" s="49">
        <v>8</v>
      </c>
      <c r="H30" s="49">
        <v>0</v>
      </c>
      <c r="I30" s="49">
        <v>1</v>
      </c>
      <c r="J30" s="49">
        <v>4</v>
      </c>
      <c r="K30" s="49">
        <v>14</v>
      </c>
      <c r="L30" s="49">
        <v>194</v>
      </c>
      <c r="M30" s="49">
        <v>8</v>
      </c>
      <c r="N30" s="49">
        <v>4</v>
      </c>
      <c r="O30" s="50">
        <v>1541</v>
      </c>
      <c r="P30" s="50">
        <v>151</v>
      </c>
      <c r="Q30" s="51">
        <f t="shared" si="14"/>
        <v>1692</v>
      </c>
      <c r="R30" s="52" t="s">
        <v>210</v>
      </c>
      <c r="S30" s="53">
        <v>9.51</v>
      </c>
      <c r="T30" s="53">
        <v>1.24</v>
      </c>
      <c r="U30" s="54">
        <f t="shared" si="1"/>
        <v>10.75</v>
      </c>
      <c r="V30" s="53">
        <v>0</v>
      </c>
      <c r="W30" s="53">
        <v>0.01</v>
      </c>
      <c r="X30" s="54">
        <f t="shared" si="2"/>
        <v>0.01</v>
      </c>
      <c r="Y30" s="53">
        <v>18.98</v>
      </c>
      <c r="Z30" s="53">
        <v>1.05</v>
      </c>
      <c r="AA30" s="54">
        <f t="shared" si="3"/>
        <v>20.03</v>
      </c>
      <c r="AB30" s="53">
        <v>13.7</v>
      </c>
      <c r="AC30" s="53">
        <v>7.18</v>
      </c>
      <c r="AD30" s="54">
        <f t="shared" si="4"/>
        <v>20.88</v>
      </c>
      <c r="AE30" s="55">
        <v>10.83</v>
      </c>
      <c r="AF30" s="55">
        <v>6.37</v>
      </c>
      <c r="AG30" s="54">
        <f t="shared" si="5"/>
        <v>17.2</v>
      </c>
      <c r="AH30" s="54">
        <f t="shared" si="6"/>
        <v>53.019999999999996</v>
      </c>
      <c r="AI30" s="54">
        <f t="shared" si="6"/>
        <v>15.850000000000001</v>
      </c>
      <c r="AJ30" s="54">
        <f t="shared" si="6"/>
        <v>68.87</v>
      </c>
      <c r="AK30" s="48" t="s">
        <v>211</v>
      </c>
      <c r="AL30" s="56">
        <v>1415.3</v>
      </c>
      <c r="AM30" s="56">
        <v>1508.8625</v>
      </c>
      <c r="AN30" s="57">
        <f t="shared" si="7"/>
        <v>93.5625</v>
      </c>
      <c r="AO30" s="58" t="s">
        <v>212</v>
      </c>
      <c r="AP30" s="50">
        <v>7210</v>
      </c>
      <c r="AQ30" s="56">
        <v>17382.979530000001</v>
      </c>
      <c r="AR30" s="50">
        <v>36007</v>
      </c>
      <c r="AS30" s="52" t="s">
        <v>213</v>
      </c>
      <c r="AT30" s="50">
        <v>1236</v>
      </c>
      <c r="AU30" s="56">
        <v>91.6</v>
      </c>
      <c r="AV30" s="56">
        <v>3.84</v>
      </c>
      <c r="AW30" s="50">
        <v>2020</v>
      </c>
      <c r="AX30" s="52" t="s">
        <v>213</v>
      </c>
      <c r="AY30" s="50">
        <v>394</v>
      </c>
      <c r="AZ30" s="56">
        <v>111.37</v>
      </c>
      <c r="BA30" s="50">
        <v>469</v>
      </c>
      <c r="BB30" s="52" t="s">
        <v>213</v>
      </c>
      <c r="BC30" s="50">
        <v>503</v>
      </c>
      <c r="BD30" s="50">
        <v>460</v>
      </c>
      <c r="BE30" s="51">
        <f t="shared" si="8"/>
        <v>963</v>
      </c>
      <c r="BF30" s="50">
        <v>883</v>
      </c>
      <c r="BG30" s="50">
        <v>80</v>
      </c>
      <c r="BH30" s="48" t="s">
        <v>210</v>
      </c>
      <c r="BI30" s="57">
        <f t="shared" si="9"/>
        <v>91.692627206645895</v>
      </c>
      <c r="BJ30" s="57">
        <f t="shared" si="9"/>
        <v>8.3073727933541015</v>
      </c>
      <c r="BK30" s="57">
        <f t="shared" si="0"/>
        <v>52.232606438213914</v>
      </c>
      <c r="BL30" s="57">
        <f t="shared" si="0"/>
        <v>47.767393561786086</v>
      </c>
      <c r="BM30" s="50">
        <v>915</v>
      </c>
      <c r="BN30" s="50">
        <v>916</v>
      </c>
      <c r="BO30" s="50">
        <v>915</v>
      </c>
      <c r="BP30" s="48" t="s">
        <v>210</v>
      </c>
      <c r="BQ30" s="56">
        <v>6.7</v>
      </c>
      <c r="BR30" s="56">
        <v>115.1</v>
      </c>
      <c r="BS30" s="56">
        <v>11.4</v>
      </c>
      <c r="BT30" s="48" t="s">
        <v>214</v>
      </c>
      <c r="BU30" s="50">
        <v>222</v>
      </c>
      <c r="BV30" s="50">
        <v>248</v>
      </c>
      <c r="BW30" s="56">
        <v>2.2937628045863772</v>
      </c>
      <c r="BX30" s="50">
        <v>58</v>
      </c>
      <c r="BY30" s="50">
        <v>49</v>
      </c>
      <c r="BZ30" s="50">
        <v>107</v>
      </c>
      <c r="CA30" s="48" t="s">
        <v>210</v>
      </c>
      <c r="CB30" s="50">
        <v>555</v>
      </c>
      <c r="CC30" s="50">
        <v>514</v>
      </c>
      <c r="CD30" s="51">
        <f t="shared" si="10"/>
        <v>1069</v>
      </c>
      <c r="CE30" s="52" t="s">
        <v>215</v>
      </c>
      <c r="CF30" s="56">
        <v>247.52</v>
      </c>
      <c r="CG30" s="56">
        <v>0</v>
      </c>
      <c r="CH30" s="56">
        <v>20.420000000000002</v>
      </c>
      <c r="CI30" s="56">
        <v>2.88</v>
      </c>
      <c r="CJ30" s="56">
        <v>23.84</v>
      </c>
      <c r="CK30" s="56">
        <v>10.11</v>
      </c>
      <c r="CL30" s="56">
        <v>3.37</v>
      </c>
      <c r="CM30" s="56">
        <v>0.65</v>
      </c>
      <c r="CN30" s="59">
        <v>1.4</v>
      </c>
      <c r="CO30" s="59">
        <v>0.87</v>
      </c>
      <c r="CP30" s="59">
        <v>0</v>
      </c>
      <c r="CQ30" s="55">
        <v>13.38</v>
      </c>
      <c r="CR30" s="55">
        <v>52.39</v>
      </c>
      <c r="CS30" s="60" t="s">
        <v>216</v>
      </c>
      <c r="CT30" s="50">
        <v>200</v>
      </c>
      <c r="CU30" s="50">
        <v>6</v>
      </c>
      <c r="CV30" s="50">
        <v>4</v>
      </c>
      <c r="CW30" s="50">
        <v>5</v>
      </c>
      <c r="CX30" s="50">
        <v>29</v>
      </c>
      <c r="CY30" s="50">
        <v>10</v>
      </c>
      <c r="CZ30" s="50">
        <v>19</v>
      </c>
      <c r="DA30" s="50">
        <v>1</v>
      </c>
      <c r="DB30" s="50">
        <v>115</v>
      </c>
      <c r="DC30" s="60" t="s">
        <v>216</v>
      </c>
      <c r="DD30" s="56">
        <v>7.6</v>
      </c>
      <c r="DE30" s="56">
        <v>4.55</v>
      </c>
      <c r="DF30" s="56">
        <v>0.4</v>
      </c>
      <c r="DG30" s="56">
        <v>31.42</v>
      </c>
      <c r="DH30" s="56">
        <v>61.25</v>
      </c>
      <c r="DI30" s="60" t="s">
        <v>216</v>
      </c>
      <c r="DJ30" s="56">
        <v>96.45</v>
      </c>
      <c r="DK30" s="56">
        <v>112.58</v>
      </c>
      <c r="DL30" s="56">
        <v>73.504000000000005</v>
      </c>
      <c r="DM30" s="56">
        <v>655.65899999999999</v>
      </c>
      <c r="DN30" s="56">
        <v>2328.201</v>
      </c>
      <c r="DO30" s="56" t="s">
        <v>217</v>
      </c>
      <c r="DP30" s="56" t="s">
        <v>217</v>
      </c>
      <c r="DQ30" s="56" t="s">
        <v>217</v>
      </c>
      <c r="DR30" s="56" t="s">
        <v>217</v>
      </c>
      <c r="DS30" s="56">
        <v>370.11</v>
      </c>
      <c r="DT30" s="48" t="s">
        <v>213</v>
      </c>
      <c r="DU30" s="56">
        <v>51</v>
      </c>
      <c r="DV30" s="49">
        <v>5</v>
      </c>
      <c r="DW30" s="48" t="s">
        <v>213</v>
      </c>
      <c r="DX30" s="49">
        <v>600</v>
      </c>
      <c r="DY30" s="49">
        <v>61917</v>
      </c>
      <c r="DZ30" s="49">
        <v>15</v>
      </c>
      <c r="EA30" s="49">
        <v>433</v>
      </c>
      <c r="EB30" s="49">
        <v>42047</v>
      </c>
      <c r="EC30" s="49">
        <v>15</v>
      </c>
      <c r="ED30" s="49">
        <v>244</v>
      </c>
      <c r="EE30" s="49">
        <v>25784</v>
      </c>
      <c r="EF30" s="49">
        <v>14</v>
      </c>
      <c r="EG30" s="49">
        <v>65</v>
      </c>
      <c r="EH30" s="49">
        <v>22622</v>
      </c>
      <c r="EI30" s="49">
        <v>36</v>
      </c>
      <c r="EJ30" s="50">
        <v>57</v>
      </c>
      <c r="EK30" s="50">
        <v>33</v>
      </c>
      <c r="EL30" s="56">
        <v>88.2</v>
      </c>
      <c r="EM30" s="56">
        <v>72</v>
      </c>
      <c r="EN30" s="56">
        <v>80.400000000000006</v>
      </c>
      <c r="EO30" s="48" t="s">
        <v>213</v>
      </c>
      <c r="EP30" s="48" t="s">
        <v>210</v>
      </c>
      <c r="EQ30" s="50">
        <v>1</v>
      </c>
      <c r="ER30" s="50">
        <v>0</v>
      </c>
      <c r="ES30" s="50">
        <v>1</v>
      </c>
      <c r="ET30" s="50">
        <v>12</v>
      </c>
      <c r="EU30" s="50">
        <v>38</v>
      </c>
      <c r="EV30" s="50">
        <v>166</v>
      </c>
      <c r="EW30" s="50">
        <v>1</v>
      </c>
      <c r="EX30" s="50">
        <v>650</v>
      </c>
      <c r="EY30" s="50">
        <v>15</v>
      </c>
      <c r="EZ30" s="50">
        <v>20</v>
      </c>
      <c r="FA30" s="61">
        <v>45352</v>
      </c>
      <c r="FB30" s="50">
        <v>228</v>
      </c>
      <c r="FC30" s="50">
        <v>1541</v>
      </c>
      <c r="FD30" s="50">
        <v>96</v>
      </c>
      <c r="FE30" s="56">
        <v>3745.1410087599997</v>
      </c>
      <c r="FF30" s="56">
        <v>2786.8406901200506</v>
      </c>
      <c r="FG30" s="61">
        <v>45717</v>
      </c>
      <c r="FH30" s="50">
        <v>16</v>
      </c>
      <c r="FI30" s="49">
        <v>89</v>
      </c>
      <c r="FJ30" s="48" t="s">
        <v>213</v>
      </c>
      <c r="FK30" s="49">
        <v>210092</v>
      </c>
      <c r="FL30" s="49">
        <v>12363</v>
      </c>
      <c r="FM30" s="49">
        <v>34629</v>
      </c>
      <c r="FN30" s="49">
        <v>102397</v>
      </c>
      <c r="FO30" s="49">
        <v>0</v>
      </c>
      <c r="FP30" s="49">
        <v>670909</v>
      </c>
      <c r="FQ30" s="48" t="s">
        <v>218</v>
      </c>
      <c r="FR30" s="53">
        <v>26.9</v>
      </c>
      <c r="FS30" s="53">
        <v>1154.1000000000001</v>
      </c>
      <c r="FT30" s="53">
        <v>7.1400000000000006</v>
      </c>
      <c r="FU30" s="48" t="s">
        <v>213</v>
      </c>
      <c r="FV30" s="50">
        <v>16104</v>
      </c>
      <c r="FW30" s="50">
        <v>0</v>
      </c>
      <c r="FX30" s="51">
        <f t="shared" si="11"/>
        <v>16104</v>
      </c>
      <c r="FY30" s="50">
        <v>0</v>
      </c>
      <c r="FZ30" s="51">
        <f t="shared" si="12"/>
        <v>16104</v>
      </c>
      <c r="GA30" s="48" t="s">
        <v>213</v>
      </c>
      <c r="GB30" s="49">
        <v>11740</v>
      </c>
      <c r="GC30" s="53">
        <v>52390</v>
      </c>
      <c r="GD30" s="49">
        <v>12042</v>
      </c>
      <c r="GE30" s="49">
        <v>55763.28</v>
      </c>
      <c r="GF30" s="54">
        <f t="shared" si="13"/>
        <v>102.57240204429301</v>
      </c>
      <c r="GG30" s="54">
        <f t="shared" si="13"/>
        <v>106.43878602786792</v>
      </c>
      <c r="GH30" s="48" t="s">
        <v>219</v>
      </c>
    </row>
    <row r="31" spans="1:190" ht="21.6" x14ac:dyDescent="0.3">
      <c r="A31" s="48">
        <v>25</v>
      </c>
      <c r="B31" s="48">
        <v>2026</v>
      </c>
      <c r="C31" s="49" t="s">
        <v>245</v>
      </c>
      <c r="D31" s="50">
        <v>3852</v>
      </c>
      <c r="E31" s="49">
        <v>1</v>
      </c>
      <c r="F31" s="49">
        <v>5</v>
      </c>
      <c r="G31" s="49">
        <v>5</v>
      </c>
      <c r="H31" s="49">
        <v>0</v>
      </c>
      <c r="I31" s="49">
        <v>0</v>
      </c>
      <c r="J31" s="49">
        <v>3</v>
      </c>
      <c r="K31" s="49">
        <v>10</v>
      </c>
      <c r="L31" s="49">
        <v>131</v>
      </c>
      <c r="M31" s="49">
        <v>6</v>
      </c>
      <c r="N31" s="49">
        <v>2</v>
      </c>
      <c r="O31" s="50">
        <v>656</v>
      </c>
      <c r="P31" s="50">
        <v>12</v>
      </c>
      <c r="Q31" s="51">
        <f t="shared" si="14"/>
        <v>668</v>
      </c>
      <c r="R31" s="52" t="s">
        <v>210</v>
      </c>
      <c r="S31" s="53">
        <v>27.24</v>
      </c>
      <c r="T31" s="53">
        <v>11.42</v>
      </c>
      <c r="U31" s="54">
        <f t="shared" si="1"/>
        <v>38.659999999999997</v>
      </c>
      <c r="V31" s="53">
        <v>5.9</v>
      </c>
      <c r="W31" s="53">
        <v>0.05</v>
      </c>
      <c r="X31" s="54">
        <f t="shared" si="2"/>
        <v>5.95</v>
      </c>
      <c r="Y31" s="53">
        <v>7.11</v>
      </c>
      <c r="Z31" s="53">
        <v>1.79</v>
      </c>
      <c r="AA31" s="54">
        <f t="shared" si="3"/>
        <v>8.9</v>
      </c>
      <c r="AB31" s="53">
        <v>31.83</v>
      </c>
      <c r="AC31" s="53">
        <v>18.25</v>
      </c>
      <c r="AD31" s="54">
        <f t="shared" si="4"/>
        <v>50.08</v>
      </c>
      <c r="AE31" s="55">
        <v>3.42</v>
      </c>
      <c r="AF31" s="55">
        <v>6.49</v>
      </c>
      <c r="AG31" s="54">
        <f t="shared" si="5"/>
        <v>9.91</v>
      </c>
      <c r="AH31" s="54">
        <f t="shared" si="6"/>
        <v>75.5</v>
      </c>
      <c r="AI31" s="54">
        <f t="shared" si="6"/>
        <v>38</v>
      </c>
      <c r="AJ31" s="54">
        <f t="shared" si="6"/>
        <v>113.5</v>
      </c>
      <c r="AK31" s="48" t="s">
        <v>211</v>
      </c>
      <c r="AL31" s="56">
        <v>1130.3</v>
      </c>
      <c r="AM31" s="56">
        <v>1393.9799999999998</v>
      </c>
      <c r="AN31" s="57">
        <f t="shared" si="7"/>
        <v>263.67999999999984</v>
      </c>
      <c r="AO31" s="58" t="s">
        <v>212</v>
      </c>
      <c r="AP31" s="50">
        <v>2887</v>
      </c>
      <c r="AQ31" s="56">
        <v>5846.7455799999998</v>
      </c>
      <c r="AR31" s="50">
        <v>26576</v>
      </c>
      <c r="AS31" s="52" t="s">
        <v>213</v>
      </c>
      <c r="AT31" s="50">
        <v>356</v>
      </c>
      <c r="AU31" s="56">
        <v>13.5</v>
      </c>
      <c r="AV31" s="56">
        <v>1.3</v>
      </c>
      <c r="AW31" s="50">
        <v>620</v>
      </c>
      <c r="AX31" s="52" t="s">
        <v>213</v>
      </c>
      <c r="AY31" s="50">
        <v>33</v>
      </c>
      <c r="AZ31" s="56">
        <v>16.5</v>
      </c>
      <c r="BA31" s="50">
        <v>33</v>
      </c>
      <c r="BB31" s="52" t="s">
        <v>213</v>
      </c>
      <c r="BC31" s="50">
        <v>302</v>
      </c>
      <c r="BD31" s="50">
        <v>308</v>
      </c>
      <c r="BE31" s="51">
        <f t="shared" si="8"/>
        <v>610</v>
      </c>
      <c r="BF31" s="50">
        <v>576</v>
      </c>
      <c r="BG31" s="50">
        <v>34</v>
      </c>
      <c r="BH31" s="48" t="s">
        <v>210</v>
      </c>
      <c r="BI31" s="57">
        <f t="shared" si="9"/>
        <v>94.426229508196727</v>
      </c>
      <c r="BJ31" s="57">
        <f t="shared" si="9"/>
        <v>5.5737704918032787</v>
      </c>
      <c r="BK31" s="57">
        <f t="shared" si="0"/>
        <v>49.508196721311478</v>
      </c>
      <c r="BL31" s="57">
        <f t="shared" si="0"/>
        <v>50.491803278688529</v>
      </c>
      <c r="BM31" s="50">
        <v>1024</v>
      </c>
      <c r="BN31" s="50">
        <v>983</v>
      </c>
      <c r="BO31" s="50">
        <v>1021</v>
      </c>
      <c r="BP31" s="48" t="s">
        <v>210</v>
      </c>
      <c r="BQ31" s="56">
        <v>15.1</v>
      </c>
      <c r="BR31" s="56">
        <v>13.4</v>
      </c>
      <c r="BS31" s="56">
        <v>15</v>
      </c>
      <c r="BT31" s="48" t="s">
        <v>214</v>
      </c>
      <c r="BU31" s="50">
        <v>138</v>
      </c>
      <c r="BV31" s="50">
        <v>158</v>
      </c>
      <c r="BW31" s="56">
        <v>1.4541831368960823</v>
      </c>
      <c r="BX31" s="50">
        <v>44</v>
      </c>
      <c r="BY31" s="50">
        <v>44</v>
      </c>
      <c r="BZ31" s="50">
        <v>88</v>
      </c>
      <c r="CA31" s="48" t="s">
        <v>210</v>
      </c>
      <c r="CB31" s="50">
        <v>333</v>
      </c>
      <c r="CC31" s="50">
        <v>343</v>
      </c>
      <c r="CD31" s="51">
        <f t="shared" si="10"/>
        <v>676</v>
      </c>
      <c r="CE31" s="52" t="s">
        <v>215</v>
      </c>
      <c r="CF31" s="56">
        <v>345.36</v>
      </c>
      <c r="CG31" s="56">
        <v>0.02</v>
      </c>
      <c r="CH31" s="56">
        <v>25.49</v>
      </c>
      <c r="CI31" s="56">
        <v>5.1100000000000003</v>
      </c>
      <c r="CJ31" s="56">
        <v>25.61</v>
      </c>
      <c r="CK31" s="56">
        <v>8.35</v>
      </c>
      <c r="CL31" s="56">
        <v>8.25</v>
      </c>
      <c r="CM31" s="56">
        <v>2.75</v>
      </c>
      <c r="CN31" s="59">
        <v>22.88</v>
      </c>
      <c r="CO31" s="59">
        <v>2.0299999999999998</v>
      </c>
      <c r="CP31" s="59">
        <v>0.25</v>
      </c>
      <c r="CQ31" s="55">
        <v>13.47</v>
      </c>
      <c r="CR31" s="55">
        <v>6.84</v>
      </c>
      <c r="CS31" s="60" t="s">
        <v>216</v>
      </c>
      <c r="CT31" s="50">
        <v>191</v>
      </c>
      <c r="CU31" s="50">
        <v>1</v>
      </c>
      <c r="CV31" s="50">
        <v>1</v>
      </c>
      <c r="CW31" s="50"/>
      <c r="CX31" s="50">
        <v>0</v>
      </c>
      <c r="CY31" s="50">
        <v>2</v>
      </c>
      <c r="CZ31" s="50">
        <v>0</v>
      </c>
      <c r="DA31" s="50">
        <v>1</v>
      </c>
      <c r="DB31" s="50">
        <v>189</v>
      </c>
      <c r="DC31" s="60" t="s">
        <v>216</v>
      </c>
      <c r="DD31" s="56">
        <v>9.1</v>
      </c>
      <c r="DE31" s="56">
        <v>3.5</v>
      </c>
      <c r="DF31" s="56">
        <v>0.61</v>
      </c>
      <c r="DG31" s="56">
        <v>18.350000000000001</v>
      </c>
      <c r="DH31" s="56">
        <v>44.47</v>
      </c>
      <c r="DI31" s="60" t="s">
        <v>216</v>
      </c>
      <c r="DJ31" s="56">
        <v>90.01</v>
      </c>
      <c r="DK31" s="56">
        <v>142.29599999999999</v>
      </c>
      <c r="DL31" s="56">
        <v>17.327000000000002</v>
      </c>
      <c r="DM31" s="56">
        <v>343.20100000000002</v>
      </c>
      <c r="DN31" s="56">
        <v>2255.4780000000001</v>
      </c>
      <c r="DO31" s="56" t="s">
        <v>217</v>
      </c>
      <c r="DP31" s="56" t="s">
        <v>217</v>
      </c>
      <c r="DQ31" s="56" t="s">
        <v>217</v>
      </c>
      <c r="DR31" s="56" t="s">
        <v>217</v>
      </c>
      <c r="DS31" s="56">
        <v>299.95999999999998</v>
      </c>
      <c r="DT31" s="48" t="s">
        <v>213</v>
      </c>
      <c r="DU31" s="56">
        <v>25</v>
      </c>
      <c r="DV31" s="49">
        <v>2</v>
      </c>
      <c r="DW31" s="48" t="s">
        <v>213</v>
      </c>
      <c r="DX31" s="49">
        <v>439</v>
      </c>
      <c r="DY31" s="49">
        <v>63950</v>
      </c>
      <c r="DZ31" s="49">
        <v>19</v>
      </c>
      <c r="EA31" s="49">
        <v>444</v>
      </c>
      <c r="EB31" s="49">
        <v>41017</v>
      </c>
      <c r="EC31" s="49">
        <v>16</v>
      </c>
      <c r="ED31" s="49">
        <v>154</v>
      </c>
      <c r="EE31" s="49">
        <v>19122</v>
      </c>
      <c r="EF31" s="49">
        <v>16</v>
      </c>
      <c r="EG31" s="49">
        <v>49</v>
      </c>
      <c r="EH31" s="49">
        <v>14783</v>
      </c>
      <c r="EI31" s="49">
        <v>46</v>
      </c>
      <c r="EJ31" s="50">
        <v>53</v>
      </c>
      <c r="EK31" s="50">
        <v>12</v>
      </c>
      <c r="EL31" s="56">
        <v>70.3</v>
      </c>
      <c r="EM31" s="56">
        <v>44.8</v>
      </c>
      <c r="EN31" s="56">
        <v>57.3</v>
      </c>
      <c r="EO31" s="48" t="s">
        <v>213</v>
      </c>
      <c r="EP31" s="48" t="s">
        <v>210</v>
      </c>
      <c r="EQ31" s="50">
        <v>1</v>
      </c>
      <c r="ER31" s="50">
        <v>0</v>
      </c>
      <c r="ES31" s="50">
        <v>1</v>
      </c>
      <c r="ET31" s="50">
        <v>5</v>
      </c>
      <c r="EU31" s="50">
        <v>17</v>
      </c>
      <c r="EV31" s="50">
        <v>95</v>
      </c>
      <c r="EW31" s="50">
        <v>7</v>
      </c>
      <c r="EX31" s="50">
        <v>206</v>
      </c>
      <c r="EY31" s="50">
        <v>10</v>
      </c>
      <c r="EZ31" s="50">
        <v>5</v>
      </c>
      <c r="FA31" s="61">
        <v>45352</v>
      </c>
      <c r="FB31" s="50">
        <v>154</v>
      </c>
      <c r="FC31" s="50">
        <v>656</v>
      </c>
      <c r="FD31" s="50">
        <v>144</v>
      </c>
      <c r="FE31" s="56">
        <v>6237.2457959559988</v>
      </c>
      <c r="FF31" s="56">
        <v>4775.3773400659993</v>
      </c>
      <c r="FG31" s="61">
        <v>45717</v>
      </c>
      <c r="FH31" s="50">
        <v>8</v>
      </c>
      <c r="FI31" s="49">
        <v>57</v>
      </c>
      <c r="FJ31" s="48" t="s">
        <v>213</v>
      </c>
      <c r="FK31" s="49">
        <v>155571</v>
      </c>
      <c r="FL31" s="49">
        <v>12659</v>
      </c>
      <c r="FM31" s="49">
        <v>29903</v>
      </c>
      <c r="FN31" s="49">
        <v>80190</v>
      </c>
      <c r="FO31" s="49">
        <v>647</v>
      </c>
      <c r="FP31" s="49">
        <v>301749</v>
      </c>
      <c r="FQ31" s="48" t="s">
        <v>218</v>
      </c>
      <c r="FR31" s="53">
        <v>21.11</v>
      </c>
      <c r="FS31" s="53">
        <v>8.11</v>
      </c>
      <c r="FT31" s="53">
        <v>4.18</v>
      </c>
      <c r="FU31" s="48" t="s">
        <v>213</v>
      </c>
      <c r="FV31" s="50">
        <v>7479</v>
      </c>
      <c r="FW31" s="50">
        <v>0</v>
      </c>
      <c r="FX31" s="51">
        <f t="shared" si="11"/>
        <v>7479</v>
      </c>
      <c r="FY31" s="50">
        <v>0</v>
      </c>
      <c r="FZ31" s="51">
        <f t="shared" si="12"/>
        <v>7479</v>
      </c>
      <c r="GA31" s="48" t="s">
        <v>213</v>
      </c>
      <c r="GB31" s="49">
        <v>5440</v>
      </c>
      <c r="GC31" s="53">
        <v>16465</v>
      </c>
      <c r="GD31" s="49">
        <v>5712</v>
      </c>
      <c r="GE31" s="49">
        <v>20262.830000000002</v>
      </c>
      <c r="GF31" s="54">
        <f t="shared" si="13"/>
        <v>105</v>
      </c>
      <c r="GG31" s="54">
        <f t="shared" si="13"/>
        <v>123.06607956270878</v>
      </c>
      <c r="GH31" s="48" t="s">
        <v>219</v>
      </c>
    </row>
    <row r="32" spans="1:190" ht="21.6" x14ac:dyDescent="0.3">
      <c r="A32" s="48">
        <v>26</v>
      </c>
      <c r="B32" s="48">
        <v>2026</v>
      </c>
      <c r="C32" s="49" t="s">
        <v>246</v>
      </c>
      <c r="D32" s="50">
        <v>3479</v>
      </c>
      <c r="E32" s="49">
        <v>1</v>
      </c>
      <c r="F32" s="49">
        <v>11</v>
      </c>
      <c r="G32" s="49">
        <v>11</v>
      </c>
      <c r="H32" s="49">
        <v>0</v>
      </c>
      <c r="I32" s="49">
        <v>1</v>
      </c>
      <c r="J32" s="49">
        <v>3</v>
      </c>
      <c r="K32" s="49">
        <v>31</v>
      </c>
      <c r="L32" s="49">
        <v>268</v>
      </c>
      <c r="M32" s="49">
        <v>12</v>
      </c>
      <c r="N32" s="49">
        <v>6</v>
      </c>
      <c r="O32" s="50">
        <v>1600</v>
      </c>
      <c r="P32" s="50">
        <v>107</v>
      </c>
      <c r="Q32" s="51">
        <f t="shared" si="14"/>
        <v>1707</v>
      </c>
      <c r="R32" s="52" t="s">
        <v>210</v>
      </c>
      <c r="S32" s="53">
        <v>67.760000000000005</v>
      </c>
      <c r="T32" s="53">
        <v>16.420000000000002</v>
      </c>
      <c r="U32" s="54">
        <f t="shared" si="1"/>
        <v>84.18</v>
      </c>
      <c r="V32" s="53">
        <v>0</v>
      </c>
      <c r="W32" s="53">
        <v>0</v>
      </c>
      <c r="X32" s="54">
        <f t="shared" si="2"/>
        <v>0</v>
      </c>
      <c r="Y32" s="53">
        <v>3.16</v>
      </c>
      <c r="Z32" s="53">
        <v>0.03</v>
      </c>
      <c r="AA32" s="54">
        <f t="shared" si="3"/>
        <v>3.19</v>
      </c>
      <c r="AB32" s="53">
        <v>25.200000000000003</v>
      </c>
      <c r="AC32" s="53">
        <v>21.380000000000003</v>
      </c>
      <c r="AD32" s="54">
        <f t="shared" si="4"/>
        <v>46.580000000000005</v>
      </c>
      <c r="AE32" s="55">
        <v>20.260000000000002</v>
      </c>
      <c r="AF32" s="55">
        <v>48.26</v>
      </c>
      <c r="AG32" s="54">
        <f t="shared" si="5"/>
        <v>68.52</v>
      </c>
      <c r="AH32" s="54">
        <f t="shared" si="6"/>
        <v>116.38000000000001</v>
      </c>
      <c r="AI32" s="54">
        <f t="shared" si="6"/>
        <v>86.09</v>
      </c>
      <c r="AJ32" s="54">
        <f t="shared" si="6"/>
        <v>202.47000000000003</v>
      </c>
      <c r="AK32" s="48" t="s">
        <v>211</v>
      </c>
      <c r="AL32" s="56">
        <v>1511.8</v>
      </c>
      <c r="AM32" s="56">
        <v>1155.3000000000002</v>
      </c>
      <c r="AN32" s="57">
        <f t="shared" si="7"/>
        <v>-356.49999999999977</v>
      </c>
      <c r="AO32" s="58" t="s">
        <v>212</v>
      </c>
      <c r="AP32" s="50">
        <v>15721</v>
      </c>
      <c r="AQ32" s="56">
        <v>41029.574999999997</v>
      </c>
      <c r="AR32" s="50">
        <v>138396</v>
      </c>
      <c r="AS32" s="52" t="s">
        <v>213</v>
      </c>
      <c r="AT32" s="50">
        <v>379</v>
      </c>
      <c r="AU32" s="56">
        <v>629.04999999999995</v>
      </c>
      <c r="AV32" s="56">
        <v>2.36</v>
      </c>
      <c r="AW32" s="50">
        <v>710</v>
      </c>
      <c r="AX32" s="52" t="s">
        <v>213</v>
      </c>
      <c r="AY32" s="50">
        <v>1014</v>
      </c>
      <c r="AZ32" s="56">
        <v>768.23</v>
      </c>
      <c r="BA32" s="50">
        <v>1589</v>
      </c>
      <c r="BB32" s="52" t="s">
        <v>213</v>
      </c>
      <c r="BC32" s="50">
        <v>865</v>
      </c>
      <c r="BD32" s="50">
        <v>834</v>
      </c>
      <c r="BE32" s="51">
        <f t="shared" si="8"/>
        <v>1699</v>
      </c>
      <c r="BF32" s="50">
        <v>1434</v>
      </c>
      <c r="BG32" s="50">
        <v>265</v>
      </c>
      <c r="BH32" s="48" t="s">
        <v>210</v>
      </c>
      <c r="BI32" s="57">
        <f t="shared" si="9"/>
        <v>84.402589758681586</v>
      </c>
      <c r="BJ32" s="57">
        <f t="shared" si="9"/>
        <v>15.597410241318421</v>
      </c>
      <c r="BK32" s="57">
        <f t="shared" si="0"/>
        <v>50.91230135373749</v>
      </c>
      <c r="BL32" s="57">
        <f t="shared" si="0"/>
        <v>49.08769864626251</v>
      </c>
      <c r="BM32" s="50">
        <v>969</v>
      </c>
      <c r="BN32" s="50">
        <v>931</v>
      </c>
      <c r="BO32" s="50">
        <v>963</v>
      </c>
      <c r="BP32" s="48" t="s">
        <v>210</v>
      </c>
      <c r="BQ32" s="56">
        <v>10.4</v>
      </c>
      <c r="BR32" s="56">
        <v>29.8</v>
      </c>
      <c r="BS32" s="56">
        <v>13</v>
      </c>
      <c r="BT32" s="48" t="s">
        <v>214</v>
      </c>
      <c r="BU32" s="50">
        <v>432</v>
      </c>
      <c r="BV32" s="50">
        <v>488</v>
      </c>
      <c r="BW32" s="56">
        <v>4.0470795667950261</v>
      </c>
      <c r="BX32" s="50">
        <v>90</v>
      </c>
      <c r="BY32" s="50">
        <v>83</v>
      </c>
      <c r="BZ32" s="50">
        <v>173</v>
      </c>
      <c r="CA32" s="48" t="s">
        <v>210</v>
      </c>
      <c r="CB32" s="50">
        <v>959</v>
      </c>
      <c r="CC32" s="50">
        <v>935</v>
      </c>
      <c r="CD32" s="51">
        <f t="shared" si="10"/>
        <v>1894</v>
      </c>
      <c r="CE32" s="52" t="s">
        <v>215</v>
      </c>
      <c r="CF32" s="56">
        <v>430.74</v>
      </c>
      <c r="CG32" s="56">
        <v>0</v>
      </c>
      <c r="CH32" s="56">
        <v>0.21</v>
      </c>
      <c r="CI32" s="56">
        <v>0.37</v>
      </c>
      <c r="CJ32" s="56">
        <v>19.75</v>
      </c>
      <c r="CK32" s="56">
        <v>9.1300000000000008</v>
      </c>
      <c r="CL32" s="56">
        <v>1.63</v>
      </c>
      <c r="CM32" s="56">
        <v>0.11</v>
      </c>
      <c r="CN32" s="59">
        <v>10.67</v>
      </c>
      <c r="CO32" s="59">
        <v>0.4</v>
      </c>
      <c r="CP32" s="59">
        <v>0.38</v>
      </c>
      <c r="CQ32" s="55">
        <v>12.66</v>
      </c>
      <c r="CR32" s="55">
        <v>4.68</v>
      </c>
      <c r="CS32" s="60" t="s">
        <v>216</v>
      </c>
      <c r="CT32" s="50">
        <v>19</v>
      </c>
      <c r="CU32" s="50">
        <v>9</v>
      </c>
      <c r="CV32" s="50">
        <v>9</v>
      </c>
      <c r="CW32" s="50">
        <v>3</v>
      </c>
      <c r="CX32" s="50">
        <v>110</v>
      </c>
      <c r="CY32" s="50">
        <v>8</v>
      </c>
      <c r="CZ32" s="50">
        <v>95</v>
      </c>
      <c r="DA32" s="50">
        <v>1</v>
      </c>
      <c r="DB32" s="50">
        <v>94</v>
      </c>
      <c r="DC32" s="60" t="s">
        <v>216</v>
      </c>
      <c r="DD32" s="56">
        <v>13.27</v>
      </c>
      <c r="DE32" s="56">
        <v>8.5500000000000007</v>
      </c>
      <c r="DF32" s="56">
        <v>2.21</v>
      </c>
      <c r="DG32" s="56">
        <v>71.61</v>
      </c>
      <c r="DH32" s="56">
        <v>118.96</v>
      </c>
      <c r="DI32" s="60" t="s">
        <v>216</v>
      </c>
      <c r="DJ32" s="56">
        <v>138.76</v>
      </c>
      <c r="DK32" s="56">
        <v>66.894000000000005</v>
      </c>
      <c r="DL32" s="56">
        <v>77.412000000000006</v>
      </c>
      <c r="DM32" s="56">
        <v>541.99800000000005</v>
      </c>
      <c r="DN32" s="56">
        <v>3768.8240000000001</v>
      </c>
      <c r="DO32" s="56" t="s">
        <v>217</v>
      </c>
      <c r="DP32" s="56" t="s">
        <v>217</v>
      </c>
      <c r="DQ32" s="56" t="s">
        <v>217</v>
      </c>
      <c r="DR32" s="56" t="s">
        <v>217</v>
      </c>
      <c r="DS32" s="56">
        <v>15.62</v>
      </c>
      <c r="DT32" s="48" t="s">
        <v>213</v>
      </c>
      <c r="DU32" s="56">
        <v>44</v>
      </c>
      <c r="DV32" s="49">
        <v>10</v>
      </c>
      <c r="DW32" s="48" t="s">
        <v>213</v>
      </c>
      <c r="DX32" s="49">
        <v>1172</v>
      </c>
      <c r="DY32" s="49">
        <v>105683</v>
      </c>
      <c r="DZ32" s="49">
        <v>14</v>
      </c>
      <c r="EA32" s="49">
        <v>862</v>
      </c>
      <c r="EB32" s="49">
        <v>70641</v>
      </c>
      <c r="EC32" s="49">
        <v>13</v>
      </c>
      <c r="ED32" s="49">
        <v>371</v>
      </c>
      <c r="EE32" s="49">
        <v>44698</v>
      </c>
      <c r="EF32" s="49">
        <v>14</v>
      </c>
      <c r="EG32" s="49">
        <v>115</v>
      </c>
      <c r="EH32" s="49">
        <v>37541</v>
      </c>
      <c r="EI32" s="49">
        <v>38</v>
      </c>
      <c r="EJ32" s="50">
        <v>100</v>
      </c>
      <c r="EK32" s="50">
        <v>60</v>
      </c>
      <c r="EL32" s="56">
        <v>90.8</v>
      </c>
      <c r="EM32" s="56">
        <v>78.3</v>
      </c>
      <c r="EN32" s="56">
        <v>84.7</v>
      </c>
      <c r="EO32" s="48" t="s">
        <v>213</v>
      </c>
      <c r="EP32" s="48" t="s">
        <v>210</v>
      </c>
      <c r="EQ32" s="50">
        <v>1</v>
      </c>
      <c r="ER32" s="50">
        <v>1</v>
      </c>
      <c r="ES32" s="50">
        <v>1</v>
      </c>
      <c r="ET32" s="50">
        <v>16</v>
      </c>
      <c r="EU32" s="50">
        <v>52</v>
      </c>
      <c r="EV32" s="50">
        <v>241</v>
      </c>
      <c r="EW32" s="50">
        <v>1</v>
      </c>
      <c r="EX32" s="50">
        <v>698</v>
      </c>
      <c r="EY32" s="50">
        <v>25</v>
      </c>
      <c r="EZ32" s="50">
        <v>16</v>
      </c>
      <c r="FA32" s="61">
        <v>45352</v>
      </c>
      <c r="FB32" s="50">
        <v>276</v>
      </c>
      <c r="FC32" s="50">
        <v>1600</v>
      </c>
      <c r="FD32" s="50">
        <v>254</v>
      </c>
      <c r="FE32" s="56">
        <v>15617.812714081019</v>
      </c>
      <c r="FF32" s="56">
        <v>8234.5734232372979</v>
      </c>
      <c r="FG32" s="61">
        <v>45717</v>
      </c>
      <c r="FH32" s="50">
        <v>15</v>
      </c>
      <c r="FI32" s="49">
        <v>159</v>
      </c>
      <c r="FJ32" s="48" t="s">
        <v>213</v>
      </c>
      <c r="FK32" s="49">
        <v>367150</v>
      </c>
      <c r="FL32" s="49">
        <v>13524</v>
      </c>
      <c r="FM32" s="49">
        <v>24774</v>
      </c>
      <c r="FN32" s="49">
        <v>111717</v>
      </c>
      <c r="FO32" s="49">
        <v>1241</v>
      </c>
      <c r="FP32" s="49">
        <v>597382</v>
      </c>
      <c r="FQ32" s="48" t="s">
        <v>218</v>
      </c>
      <c r="FR32" s="53">
        <v>196.48000000000002</v>
      </c>
      <c r="FS32" s="53">
        <v>225.81</v>
      </c>
      <c r="FT32" s="53">
        <v>14.870000000000001</v>
      </c>
      <c r="FU32" s="48" t="s">
        <v>213</v>
      </c>
      <c r="FV32" s="50">
        <v>29969</v>
      </c>
      <c r="FW32" s="50">
        <v>31708</v>
      </c>
      <c r="FX32" s="51">
        <f t="shared" si="11"/>
        <v>61677</v>
      </c>
      <c r="FY32" s="50">
        <v>53475</v>
      </c>
      <c r="FZ32" s="51">
        <f t="shared" si="12"/>
        <v>115152</v>
      </c>
      <c r="GA32" s="48" t="s">
        <v>213</v>
      </c>
      <c r="GB32" s="49">
        <v>21415</v>
      </c>
      <c r="GC32" s="53">
        <v>85950</v>
      </c>
      <c r="GD32" s="49">
        <v>21055</v>
      </c>
      <c r="GE32" s="49">
        <v>97359.41</v>
      </c>
      <c r="GF32" s="54">
        <f t="shared" si="13"/>
        <v>98.318935325706278</v>
      </c>
      <c r="GG32" s="54">
        <f t="shared" si="13"/>
        <v>113.27447353112274</v>
      </c>
      <c r="GH32" s="48" t="s">
        <v>219</v>
      </c>
    </row>
    <row r="33" spans="1:190" ht="21.6" x14ac:dyDescent="0.3">
      <c r="A33" s="48">
        <v>27</v>
      </c>
      <c r="B33" s="48">
        <v>2026</v>
      </c>
      <c r="C33" s="49" t="s">
        <v>247</v>
      </c>
      <c r="D33" s="50">
        <v>7073</v>
      </c>
      <c r="E33" s="49">
        <v>2</v>
      </c>
      <c r="F33" s="49">
        <v>11</v>
      </c>
      <c r="G33" s="49">
        <v>11</v>
      </c>
      <c r="H33" s="49">
        <v>11</v>
      </c>
      <c r="I33" s="49">
        <v>2</v>
      </c>
      <c r="J33" s="49">
        <v>1</v>
      </c>
      <c r="K33" s="49">
        <v>18</v>
      </c>
      <c r="L33" s="49">
        <v>182</v>
      </c>
      <c r="M33" s="49">
        <v>11</v>
      </c>
      <c r="N33" s="49">
        <v>3</v>
      </c>
      <c r="O33" s="50">
        <v>2468</v>
      </c>
      <c r="P33" s="50">
        <v>197</v>
      </c>
      <c r="Q33" s="51">
        <f t="shared" si="14"/>
        <v>2665</v>
      </c>
      <c r="R33" s="52" t="s">
        <v>210</v>
      </c>
      <c r="S33" s="53">
        <v>9.73</v>
      </c>
      <c r="T33" s="53">
        <v>0</v>
      </c>
      <c r="U33" s="54">
        <f t="shared" si="1"/>
        <v>9.73</v>
      </c>
      <c r="V33" s="53">
        <v>2.2000000000000002</v>
      </c>
      <c r="W33" s="53">
        <v>0</v>
      </c>
      <c r="X33" s="54">
        <f t="shared" si="2"/>
        <v>2.2000000000000002</v>
      </c>
      <c r="Y33" s="53">
        <v>19.239999999999998</v>
      </c>
      <c r="Z33" s="53">
        <v>2.08</v>
      </c>
      <c r="AA33" s="54">
        <f t="shared" si="3"/>
        <v>21.32</v>
      </c>
      <c r="AB33" s="53">
        <v>33.090000000000003</v>
      </c>
      <c r="AC33" s="53">
        <v>18.5</v>
      </c>
      <c r="AD33" s="54">
        <f t="shared" si="4"/>
        <v>51.59</v>
      </c>
      <c r="AE33" s="55">
        <v>9.73</v>
      </c>
      <c r="AF33" s="55">
        <v>8.56</v>
      </c>
      <c r="AG33" s="54">
        <f t="shared" si="5"/>
        <v>18.29</v>
      </c>
      <c r="AH33" s="54">
        <f t="shared" si="6"/>
        <v>73.990000000000009</v>
      </c>
      <c r="AI33" s="54">
        <f t="shared" si="6"/>
        <v>29.14</v>
      </c>
      <c r="AJ33" s="54">
        <f t="shared" si="6"/>
        <v>103.13</v>
      </c>
      <c r="AK33" s="48" t="s">
        <v>211</v>
      </c>
      <c r="AL33" s="56">
        <v>1299.3</v>
      </c>
      <c r="AM33" s="56">
        <v>1018.090909090909</v>
      </c>
      <c r="AN33" s="57">
        <f t="shared" si="7"/>
        <v>-281.20909090909095</v>
      </c>
      <c r="AO33" s="58" t="s">
        <v>212</v>
      </c>
      <c r="AP33" s="50">
        <v>3984</v>
      </c>
      <c r="AQ33" s="56">
        <v>9203.0981800000009</v>
      </c>
      <c r="AR33" s="50">
        <v>60574</v>
      </c>
      <c r="AS33" s="52" t="s">
        <v>213</v>
      </c>
      <c r="AT33" s="50">
        <v>0</v>
      </c>
      <c r="AU33" s="56">
        <v>0</v>
      </c>
      <c r="AV33" s="56">
        <v>0</v>
      </c>
      <c r="AW33" s="50">
        <v>0</v>
      </c>
      <c r="AX33" s="52" t="s">
        <v>213</v>
      </c>
      <c r="AY33" s="50">
        <v>162</v>
      </c>
      <c r="AZ33" s="56">
        <v>49.5</v>
      </c>
      <c r="BA33" s="50">
        <v>162</v>
      </c>
      <c r="BB33" s="52" t="s">
        <v>213</v>
      </c>
      <c r="BC33" s="50">
        <v>472</v>
      </c>
      <c r="BD33" s="50">
        <v>496</v>
      </c>
      <c r="BE33" s="51">
        <f t="shared" si="8"/>
        <v>968</v>
      </c>
      <c r="BF33" s="50">
        <v>821</v>
      </c>
      <c r="BG33" s="50">
        <v>147</v>
      </c>
      <c r="BH33" s="48" t="s">
        <v>210</v>
      </c>
      <c r="BI33" s="57">
        <f t="shared" si="9"/>
        <v>84.814049586776861</v>
      </c>
      <c r="BJ33" s="57">
        <f t="shared" si="9"/>
        <v>15.185950413223139</v>
      </c>
      <c r="BK33" s="57">
        <f t="shared" si="0"/>
        <v>48.760330578512395</v>
      </c>
      <c r="BL33" s="57">
        <f t="shared" si="0"/>
        <v>51.239669421487598</v>
      </c>
      <c r="BM33" s="50">
        <v>1064</v>
      </c>
      <c r="BN33" s="50">
        <v>981</v>
      </c>
      <c r="BO33" s="50">
        <v>1051</v>
      </c>
      <c r="BP33" s="48" t="s">
        <v>210</v>
      </c>
      <c r="BQ33" s="56">
        <v>14.7</v>
      </c>
      <c r="BR33" s="56">
        <v>27.3</v>
      </c>
      <c r="BS33" s="56">
        <v>16.5</v>
      </c>
      <c r="BT33" s="48" t="s">
        <v>214</v>
      </c>
      <c r="BU33" s="50">
        <v>118</v>
      </c>
      <c r="BV33" s="50">
        <v>137</v>
      </c>
      <c r="BW33" s="56">
        <v>2.3059655334138682</v>
      </c>
      <c r="BX33" s="50">
        <v>75</v>
      </c>
      <c r="BY33" s="50">
        <v>73</v>
      </c>
      <c r="BZ33" s="50">
        <v>148</v>
      </c>
      <c r="CA33" s="48" t="s">
        <v>210</v>
      </c>
      <c r="CB33" s="50">
        <v>522</v>
      </c>
      <c r="CC33" s="50">
        <v>555</v>
      </c>
      <c r="CD33" s="51">
        <f t="shared" si="10"/>
        <v>1077</v>
      </c>
      <c r="CE33" s="52" t="s">
        <v>215</v>
      </c>
      <c r="CF33" s="56">
        <v>275.85000000000002</v>
      </c>
      <c r="CG33" s="56">
        <v>0.03</v>
      </c>
      <c r="CH33" s="56">
        <v>114.78</v>
      </c>
      <c r="CI33" s="56">
        <v>49.94</v>
      </c>
      <c r="CJ33" s="56">
        <v>3.37</v>
      </c>
      <c r="CK33" s="56">
        <v>9.24</v>
      </c>
      <c r="CL33" s="56">
        <v>0.8</v>
      </c>
      <c r="CM33" s="56">
        <v>1.4</v>
      </c>
      <c r="CN33" s="59">
        <v>2.02</v>
      </c>
      <c r="CO33" s="59">
        <v>1.1100000000000001</v>
      </c>
      <c r="CP33" s="59">
        <v>0</v>
      </c>
      <c r="CQ33" s="55">
        <v>12.16</v>
      </c>
      <c r="CR33" s="55">
        <v>7.44</v>
      </c>
      <c r="CS33" s="60" t="s">
        <v>216</v>
      </c>
      <c r="CT33" s="50">
        <v>357</v>
      </c>
      <c r="CU33" s="50">
        <v>18</v>
      </c>
      <c r="CV33" s="50">
        <v>26</v>
      </c>
      <c r="CW33" s="50">
        <v>22</v>
      </c>
      <c r="CX33" s="50">
        <v>83</v>
      </c>
      <c r="CY33" s="50">
        <v>3</v>
      </c>
      <c r="CZ33" s="50">
        <v>3</v>
      </c>
      <c r="DA33" s="50">
        <v>5</v>
      </c>
      <c r="DB33" s="50">
        <v>190</v>
      </c>
      <c r="DC33" s="60" t="s">
        <v>216</v>
      </c>
      <c r="DD33" s="56">
        <v>10.92</v>
      </c>
      <c r="DE33" s="56">
        <v>4.08</v>
      </c>
      <c r="DF33" s="56">
        <v>0.9</v>
      </c>
      <c r="DG33" s="56">
        <v>36.549999999999997</v>
      </c>
      <c r="DH33" s="56">
        <v>65.75</v>
      </c>
      <c r="DI33" s="60" t="s">
        <v>216</v>
      </c>
      <c r="DJ33" s="56">
        <v>126.7</v>
      </c>
      <c r="DK33" s="56">
        <v>269.67</v>
      </c>
      <c r="DL33" s="56">
        <v>121.741</v>
      </c>
      <c r="DM33" s="56">
        <v>427.53500000000003</v>
      </c>
      <c r="DN33" s="56">
        <v>4693.3599999999997</v>
      </c>
      <c r="DO33" s="56" t="s">
        <v>217</v>
      </c>
      <c r="DP33" s="56" t="s">
        <v>217</v>
      </c>
      <c r="DQ33" s="56" t="s">
        <v>217</v>
      </c>
      <c r="DR33" s="56" t="s">
        <v>217</v>
      </c>
      <c r="DS33" s="56">
        <v>210.51</v>
      </c>
      <c r="DT33" s="48" t="s">
        <v>213</v>
      </c>
      <c r="DU33" s="56">
        <v>213</v>
      </c>
      <c r="DV33" s="49">
        <v>16</v>
      </c>
      <c r="DW33" s="48" t="s">
        <v>213</v>
      </c>
      <c r="DX33" s="49">
        <v>1135</v>
      </c>
      <c r="DY33" s="49">
        <v>91040</v>
      </c>
      <c r="DZ33" s="49">
        <v>14</v>
      </c>
      <c r="EA33" s="49">
        <v>559</v>
      </c>
      <c r="EB33" s="49">
        <v>54050</v>
      </c>
      <c r="EC33" s="49">
        <v>19</v>
      </c>
      <c r="ED33" s="49">
        <v>216</v>
      </c>
      <c r="EE33" s="49">
        <v>28166</v>
      </c>
      <c r="EF33" s="49">
        <v>17</v>
      </c>
      <c r="EG33" s="49">
        <v>76</v>
      </c>
      <c r="EH33" s="49">
        <v>17865</v>
      </c>
      <c r="EI33" s="49">
        <v>33</v>
      </c>
      <c r="EJ33" s="50">
        <v>67</v>
      </c>
      <c r="EK33" s="50">
        <v>16</v>
      </c>
      <c r="EL33" s="56">
        <v>61</v>
      </c>
      <c r="EM33" s="56">
        <v>39.200000000000003</v>
      </c>
      <c r="EN33" s="56">
        <v>49.8</v>
      </c>
      <c r="EO33" s="48" t="s">
        <v>213</v>
      </c>
      <c r="EP33" s="48" t="s">
        <v>210</v>
      </c>
      <c r="EQ33" s="50">
        <v>1</v>
      </c>
      <c r="ER33" s="50">
        <v>0</v>
      </c>
      <c r="ES33" s="50">
        <v>1</v>
      </c>
      <c r="ET33" s="50">
        <v>11</v>
      </c>
      <c r="EU33" s="50">
        <v>41</v>
      </c>
      <c r="EV33" s="50">
        <v>235</v>
      </c>
      <c r="EW33" s="50">
        <v>17</v>
      </c>
      <c r="EX33" s="50">
        <v>291</v>
      </c>
      <c r="EY33" s="50">
        <v>20</v>
      </c>
      <c r="EZ33" s="50">
        <v>14</v>
      </c>
      <c r="FA33" s="61">
        <v>45352</v>
      </c>
      <c r="FB33" s="50">
        <v>267</v>
      </c>
      <c r="FC33" s="50">
        <v>2468</v>
      </c>
      <c r="FD33" s="50">
        <v>119</v>
      </c>
      <c r="FE33" s="56">
        <v>6055.0532255069993</v>
      </c>
      <c r="FF33" s="56">
        <v>3573.2661322335257</v>
      </c>
      <c r="FG33" s="61">
        <v>45717</v>
      </c>
      <c r="FH33" s="50">
        <v>16</v>
      </c>
      <c r="FI33" s="49">
        <v>108</v>
      </c>
      <c r="FJ33" s="48" t="s">
        <v>213</v>
      </c>
      <c r="FK33" s="49">
        <v>247259</v>
      </c>
      <c r="FL33" s="49">
        <v>48268</v>
      </c>
      <c r="FM33" s="49">
        <v>21561</v>
      </c>
      <c r="FN33" s="49">
        <v>154622</v>
      </c>
      <c r="FO33" s="49">
        <v>8278</v>
      </c>
      <c r="FP33" s="49">
        <v>466503</v>
      </c>
      <c r="FQ33" s="48" t="s">
        <v>218</v>
      </c>
      <c r="FR33" s="53">
        <v>57.099999999999994</v>
      </c>
      <c r="FS33" s="53">
        <v>914</v>
      </c>
      <c r="FT33" s="53">
        <v>5.6099999999999994</v>
      </c>
      <c r="FU33" s="48" t="s">
        <v>213</v>
      </c>
      <c r="FV33" s="50">
        <v>10735</v>
      </c>
      <c r="FW33" s="50">
        <v>0</v>
      </c>
      <c r="FX33" s="51">
        <f t="shared" si="11"/>
        <v>10735</v>
      </c>
      <c r="FY33" s="50">
        <v>0</v>
      </c>
      <c r="FZ33" s="51">
        <f t="shared" si="12"/>
        <v>10735</v>
      </c>
      <c r="GA33" s="48" t="s">
        <v>213</v>
      </c>
      <c r="GB33" s="49">
        <v>7120</v>
      </c>
      <c r="GC33" s="53">
        <v>22550</v>
      </c>
      <c r="GD33" s="49">
        <v>7210</v>
      </c>
      <c r="GE33" s="49">
        <v>21944.3</v>
      </c>
      <c r="GF33" s="54">
        <f t="shared" si="13"/>
        <v>101.26404494382022</v>
      </c>
      <c r="GG33" s="54">
        <f t="shared" si="13"/>
        <v>97.313968957871396</v>
      </c>
      <c r="GH33" s="48" t="s">
        <v>219</v>
      </c>
    </row>
    <row r="34" spans="1:190" ht="21.6" x14ac:dyDescent="0.3">
      <c r="A34" s="48">
        <v>28</v>
      </c>
      <c r="B34" s="48">
        <v>2026</v>
      </c>
      <c r="C34" s="49" t="s">
        <v>248</v>
      </c>
      <c r="D34" s="50">
        <v>6624</v>
      </c>
      <c r="E34" s="49">
        <v>3</v>
      </c>
      <c r="F34" s="49">
        <v>9</v>
      </c>
      <c r="G34" s="49">
        <v>9</v>
      </c>
      <c r="H34" s="49">
        <v>3</v>
      </c>
      <c r="I34" s="49">
        <v>1</v>
      </c>
      <c r="J34" s="49">
        <v>2</v>
      </c>
      <c r="K34" s="49">
        <v>26</v>
      </c>
      <c r="L34" s="49">
        <v>138</v>
      </c>
      <c r="M34" s="49">
        <v>11</v>
      </c>
      <c r="N34" s="49">
        <v>4</v>
      </c>
      <c r="O34" s="50">
        <v>1229</v>
      </c>
      <c r="P34" s="50">
        <v>84</v>
      </c>
      <c r="Q34" s="51">
        <f t="shared" si="14"/>
        <v>1313</v>
      </c>
      <c r="R34" s="52" t="s">
        <v>210</v>
      </c>
      <c r="S34" s="53">
        <v>31.47</v>
      </c>
      <c r="T34" s="53">
        <v>19.53</v>
      </c>
      <c r="U34" s="54">
        <f t="shared" si="1"/>
        <v>51</v>
      </c>
      <c r="V34" s="53">
        <v>11.92</v>
      </c>
      <c r="W34" s="53">
        <v>1.4</v>
      </c>
      <c r="X34" s="54">
        <f t="shared" si="2"/>
        <v>13.32</v>
      </c>
      <c r="Y34" s="53">
        <v>15.24</v>
      </c>
      <c r="Z34" s="53">
        <v>1.05</v>
      </c>
      <c r="AA34" s="54">
        <f t="shared" si="3"/>
        <v>16.29</v>
      </c>
      <c r="AB34" s="53">
        <v>31.39</v>
      </c>
      <c r="AC34" s="53">
        <v>21.04</v>
      </c>
      <c r="AD34" s="54">
        <f t="shared" si="4"/>
        <v>52.43</v>
      </c>
      <c r="AE34" s="55">
        <v>9.81</v>
      </c>
      <c r="AF34" s="55">
        <v>13.67</v>
      </c>
      <c r="AG34" s="54">
        <f t="shared" si="5"/>
        <v>23.48</v>
      </c>
      <c r="AH34" s="54">
        <f t="shared" si="6"/>
        <v>99.830000000000013</v>
      </c>
      <c r="AI34" s="54">
        <f t="shared" si="6"/>
        <v>56.69</v>
      </c>
      <c r="AJ34" s="54">
        <f t="shared" si="6"/>
        <v>156.51999999999998</v>
      </c>
      <c r="AK34" s="48" t="s">
        <v>211</v>
      </c>
      <c r="AL34" s="56">
        <v>1444</v>
      </c>
      <c r="AM34" s="56">
        <v>1319.1</v>
      </c>
      <c r="AN34" s="57">
        <f t="shared" si="7"/>
        <v>-124.90000000000009</v>
      </c>
      <c r="AO34" s="58" t="s">
        <v>212</v>
      </c>
      <c r="AP34" s="50">
        <v>7179</v>
      </c>
      <c r="AQ34" s="56">
        <v>18829.110059999999</v>
      </c>
      <c r="AR34" s="50">
        <v>44469</v>
      </c>
      <c r="AS34" s="52" t="s">
        <v>213</v>
      </c>
      <c r="AT34" s="50">
        <v>285</v>
      </c>
      <c r="AU34" s="56">
        <v>105.6</v>
      </c>
      <c r="AV34" s="56">
        <v>0.01</v>
      </c>
      <c r="AW34" s="50">
        <v>230</v>
      </c>
      <c r="AX34" s="52" t="s">
        <v>213</v>
      </c>
      <c r="AY34" s="50">
        <v>236</v>
      </c>
      <c r="AZ34" s="56">
        <v>108.7</v>
      </c>
      <c r="BA34" s="50">
        <v>242</v>
      </c>
      <c r="BB34" s="52" t="s">
        <v>213</v>
      </c>
      <c r="BC34" s="50">
        <v>527</v>
      </c>
      <c r="BD34" s="50">
        <v>514</v>
      </c>
      <c r="BE34" s="51">
        <f t="shared" si="8"/>
        <v>1041</v>
      </c>
      <c r="BF34" s="50">
        <v>733</v>
      </c>
      <c r="BG34" s="50">
        <v>308</v>
      </c>
      <c r="BH34" s="48" t="s">
        <v>210</v>
      </c>
      <c r="BI34" s="57">
        <f t="shared" si="9"/>
        <v>70.413064361191161</v>
      </c>
      <c r="BJ34" s="57">
        <f t="shared" si="9"/>
        <v>29.586935638808836</v>
      </c>
      <c r="BK34" s="57">
        <f t="shared" si="0"/>
        <v>50.624399615754079</v>
      </c>
      <c r="BL34" s="57">
        <f t="shared" si="0"/>
        <v>49.375600384245914</v>
      </c>
      <c r="BM34" s="50">
        <v>988</v>
      </c>
      <c r="BN34" s="50">
        <v>948</v>
      </c>
      <c r="BO34" s="50">
        <v>976</v>
      </c>
      <c r="BP34" s="48" t="s">
        <v>210</v>
      </c>
      <c r="BQ34" s="56">
        <v>8.3000000000000007</v>
      </c>
      <c r="BR34" s="56">
        <v>21.4</v>
      </c>
      <c r="BS34" s="56">
        <v>11.9</v>
      </c>
      <c r="BT34" s="48" t="s">
        <v>214</v>
      </c>
      <c r="BU34" s="50">
        <v>140</v>
      </c>
      <c r="BV34" s="50">
        <v>157</v>
      </c>
      <c r="BW34" s="56">
        <v>2.4803297109668607</v>
      </c>
      <c r="BX34" s="50">
        <v>61</v>
      </c>
      <c r="BY34" s="50">
        <v>57</v>
      </c>
      <c r="BZ34" s="50">
        <v>118</v>
      </c>
      <c r="CA34" s="48" t="s">
        <v>210</v>
      </c>
      <c r="CB34" s="50">
        <v>586</v>
      </c>
      <c r="CC34" s="50">
        <v>579</v>
      </c>
      <c r="CD34" s="51">
        <f t="shared" si="10"/>
        <v>1165</v>
      </c>
      <c r="CE34" s="52" t="s">
        <v>215</v>
      </c>
      <c r="CF34" s="56">
        <v>730.8</v>
      </c>
      <c r="CG34" s="56">
        <v>0.11</v>
      </c>
      <c r="CH34" s="56">
        <v>31.28</v>
      </c>
      <c r="CI34" s="56">
        <v>0.71</v>
      </c>
      <c r="CJ34" s="56">
        <v>21.68</v>
      </c>
      <c r="CK34" s="56">
        <v>7.7</v>
      </c>
      <c r="CL34" s="56">
        <v>1.08</v>
      </c>
      <c r="CM34" s="56">
        <v>6.94</v>
      </c>
      <c r="CN34" s="59">
        <v>3.99</v>
      </c>
      <c r="CO34" s="59">
        <v>8.64</v>
      </c>
      <c r="CP34" s="59">
        <v>0</v>
      </c>
      <c r="CQ34" s="55">
        <v>13.06</v>
      </c>
      <c r="CR34" s="55">
        <v>3.7</v>
      </c>
      <c r="CS34" s="60" t="s">
        <v>216</v>
      </c>
      <c r="CT34" s="50">
        <v>401</v>
      </c>
      <c r="CU34" s="50">
        <v>4</v>
      </c>
      <c r="CV34" s="50">
        <v>13</v>
      </c>
      <c r="CW34" s="50">
        <v>19</v>
      </c>
      <c r="CX34" s="50">
        <v>13</v>
      </c>
      <c r="CY34" s="50">
        <v>5</v>
      </c>
      <c r="CZ34" s="50">
        <v>10</v>
      </c>
      <c r="DA34" s="50">
        <v>17</v>
      </c>
      <c r="DB34" s="50">
        <v>184</v>
      </c>
      <c r="DC34" s="60" t="s">
        <v>216</v>
      </c>
      <c r="DD34" s="56">
        <v>25.39</v>
      </c>
      <c r="DE34" s="56">
        <v>11.63</v>
      </c>
      <c r="DF34" s="56">
        <v>2.23</v>
      </c>
      <c r="DG34" s="56">
        <v>51.48</v>
      </c>
      <c r="DH34" s="56">
        <v>157.24</v>
      </c>
      <c r="DI34" s="60" t="s">
        <v>216</v>
      </c>
      <c r="DJ34" s="56">
        <v>268.86</v>
      </c>
      <c r="DK34" s="56">
        <v>158.559</v>
      </c>
      <c r="DL34" s="56">
        <v>138.17099999999999</v>
      </c>
      <c r="DM34" s="56">
        <v>1556.4380000000001</v>
      </c>
      <c r="DN34" s="56">
        <v>3391.6379999999999</v>
      </c>
      <c r="DO34" s="56" t="s">
        <v>217</v>
      </c>
      <c r="DP34" s="56" t="s">
        <v>217</v>
      </c>
      <c r="DQ34" s="56" t="s">
        <v>217</v>
      </c>
      <c r="DR34" s="56" t="s">
        <v>217</v>
      </c>
      <c r="DS34" s="56">
        <v>739.1</v>
      </c>
      <c r="DT34" s="48" t="s">
        <v>213</v>
      </c>
      <c r="DU34" s="56">
        <v>168</v>
      </c>
      <c r="DV34" s="49">
        <v>16</v>
      </c>
      <c r="DW34" s="48" t="s">
        <v>213</v>
      </c>
      <c r="DX34" s="49">
        <v>690</v>
      </c>
      <c r="DY34" s="49">
        <v>76984</v>
      </c>
      <c r="DZ34" s="49">
        <v>16</v>
      </c>
      <c r="EA34" s="49">
        <v>528</v>
      </c>
      <c r="EB34" s="49">
        <v>50512</v>
      </c>
      <c r="EC34" s="49">
        <v>14</v>
      </c>
      <c r="ED34" s="49">
        <v>226</v>
      </c>
      <c r="EE34" s="49">
        <v>29930</v>
      </c>
      <c r="EF34" s="49">
        <v>15</v>
      </c>
      <c r="EG34" s="49">
        <v>89</v>
      </c>
      <c r="EH34" s="49">
        <v>27519</v>
      </c>
      <c r="EI34" s="49">
        <v>33</v>
      </c>
      <c r="EJ34" s="50">
        <v>70</v>
      </c>
      <c r="EK34" s="50">
        <v>21</v>
      </c>
      <c r="EL34" s="56">
        <v>84.4</v>
      </c>
      <c r="EM34" s="56">
        <v>67.900000000000006</v>
      </c>
      <c r="EN34" s="56">
        <v>76.2</v>
      </c>
      <c r="EO34" s="48" t="s">
        <v>213</v>
      </c>
      <c r="EP34" s="48" t="s">
        <v>210</v>
      </c>
      <c r="EQ34" s="50">
        <v>1</v>
      </c>
      <c r="ER34" s="50">
        <v>1</v>
      </c>
      <c r="ES34" s="50">
        <v>1</v>
      </c>
      <c r="ET34" s="50">
        <v>11</v>
      </c>
      <c r="EU34" s="50">
        <v>36</v>
      </c>
      <c r="EV34" s="50">
        <v>167</v>
      </c>
      <c r="EW34" s="50">
        <v>4</v>
      </c>
      <c r="EX34" s="50">
        <v>1419</v>
      </c>
      <c r="EY34" s="50">
        <v>15</v>
      </c>
      <c r="EZ34" s="50">
        <v>17</v>
      </c>
      <c r="FA34" s="61">
        <v>45352</v>
      </c>
      <c r="FB34" s="50">
        <v>177</v>
      </c>
      <c r="FC34" s="50">
        <v>1229</v>
      </c>
      <c r="FD34" s="50">
        <v>216</v>
      </c>
      <c r="FE34" s="56">
        <v>31904.743503141854</v>
      </c>
      <c r="FF34" s="56">
        <v>29878.154264018103</v>
      </c>
      <c r="FG34" s="61">
        <v>45717</v>
      </c>
      <c r="FH34" s="50">
        <v>17</v>
      </c>
      <c r="FI34" s="49">
        <v>122</v>
      </c>
      <c r="FJ34" s="48" t="s">
        <v>213</v>
      </c>
      <c r="FK34" s="49">
        <v>247795</v>
      </c>
      <c r="FL34" s="49">
        <v>5898</v>
      </c>
      <c r="FM34" s="49">
        <v>18840</v>
      </c>
      <c r="FN34" s="49">
        <v>200748</v>
      </c>
      <c r="FO34" s="49">
        <v>6453</v>
      </c>
      <c r="FP34" s="49">
        <v>519190</v>
      </c>
      <c r="FQ34" s="48" t="s">
        <v>218</v>
      </c>
      <c r="FR34" s="53">
        <v>22.27</v>
      </c>
      <c r="FS34" s="53">
        <v>682.18999999999994</v>
      </c>
      <c r="FT34" s="53">
        <v>6.38</v>
      </c>
      <c r="FU34" s="48" t="s">
        <v>213</v>
      </c>
      <c r="FV34" s="50">
        <v>48004</v>
      </c>
      <c r="FW34" s="50">
        <v>0</v>
      </c>
      <c r="FX34" s="51">
        <f t="shared" si="11"/>
        <v>48004</v>
      </c>
      <c r="FY34" s="50">
        <v>0</v>
      </c>
      <c r="FZ34" s="51">
        <f t="shared" si="12"/>
        <v>48004</v>
      </c>
      <c r="GA34" s="48" t="s">
        <v>213</v>
      </c>
      <c r="GB34" s="49">
        <v>8880</v>
      </c>
      <c r="GC34" s="53">
        <v>35990.639999999999</v>
      </c>
      <c r="GD34" s="49">
        <v>9307</v>
      </c>
      <c r="GE34" s="49">
        <v>37238.85</v>
      </c>
      <c r="GF34" s="54">
        <f t="shared" si="13"/>
        <v>104.80855855855854</v>
      </c>
      <c r="GG34" s="54">
        <f t="shared" si="13"/>
        <v>103.46815171944705</v>
      </c>
      <c r="GH34" s="48" t="s">
        <v>219</v>
      </c>
    </row>
    <row r="35" spans="1:190" ht="21.6" x14ac:dyDescent="0.3">
      <c r="A35" s="48">
        <v>29</v>
      </c>
      <c r="B35" s="48">
        <v>2026</v>
      </c>
      <c r="C35" s="49" t="s">
        <v>249</v>
      </c>
      <c r="D35" s="50">
        <v>2337</v>
      </c>
      <c r="E35" s="49">
        <v>2</v>
      </c>
      <c r="F35" s="49">
        <v>6</v>
      </c>
      <c r="G35" s="49">
        <v>6</v>
      </c>
      <c r="H35" s="49">
        <v>0</v>
      </c>
      <c r="I35" s="49">
        <v>1</v>
      </c>
      <c r="J35" s="49">
        <v>2</v>
      </c>
      <c r="K35" s="49">
        <v>10</v>
      </c>
      <c r="L35" s="49">
        <v>109</v>
      </c>
      <c r="M35" s="49">
        <v>7</v>
      </c>
      <c r="N35" s="49">
        <v>2</v>
      </c>
      <c r="O35" s="50">
        <v>856</v>
      </c>
      <c r="P35" s="50">
        <v>106</v>
      </c>
      <c r="Q35" s="51">
        <f t="shared" si="14"/>
        <v>962</v>
      </c>
      <c r="R35" s="52" t="s">
        <v>210</v>
      </c>
      <c r="S35" s="53">
        <v>44.28</v>
      </c>
      <c r="T35" s="53">
        <v>33.1</v>
      </c>
      <c r="U35" s="54">
        <f t="shared" si="1"/>
        <v>77.38</v>
      </c>
      <c r="V35" s="53">
        <v>7.68</v>
      </c>
      <c r="W35" s="53">
        <v>0</v>
      </c>
      <c r="X35" s="54">
        <f t="shared" si="2"/>
        <v>7.68</v>
      </c>
      <c r="Y35" s="53">
        <v>2.1</v>
      </c>
      <c r="Z35" s="53">
        <v>0.34</v>
      </c>
      <c r="AA35" s="54">
        <f t="shared" si="3"/>
        <v>2.44</v>
      </c>
      <c r="AB35" s="53">
        <v>23.54</v>
      </c>
      <c r="AC35" s="53">
        <v>27.98</v>
      </c>
      <c r="AD35" s="54">
        <f t="shared" si="4"/>
        <v>51.519999999999996</v>
      </c>
      <c r="AE35" s="55">
        <v>6.69</v>
      </c>
      <c r="AF35" s="55">
        <v>5.86</v>
      </c>
      <c r="AG35" s="54">
        <f t="shared" si="5"/>
        <v>12.55</v>
      </c>
      <c r="AH35" s="54">
        <f t="shared" si="6"/>
        <v>84.289999999999992</v>
      </c>
      <c r="AI35" s="54">
        <f t="shared" si="6"/>
        <v>67.28</v>
      </c>
      <c r="AJ35" s="54">
        <f t="shared" si="6"/>
        <v>151.57</v>
      </c>
      <c r="AK35" s="48" t="s">
        <v>211</v>
      </c>
      <c r="AL35" s="56">
        <v>1361.5</v>
      </c>
      <c r="AM35" s="56">
        <v>1459.6333333333332</v>
      </c>
      <c r="AN35" s="57">
        <f t="shared" si="7"/>
        <v>98.133333333333212</v>
      </c>
      <c r="AO35" s="58" t="s">
        <v>212</v>
      </c>
      <c r="AP35" s="50">
        <v>3637</v>
      </c>
      <c r="AQ35" s="56">
        <v>9264.4606800000001</v>
      </c>
      <c r="AR35" s="50">
        <v>40626</v>
      </c>
      <c r="AS35" s="52" t="s">
        <v>213</v>
      </c>
      <c r="AT35" s="50">
        <v>4570</v>
      </c>
      <c r="AU35" s="56">
        <v>49.8</v>
      </c>
      <c r="AV35" s="56">
        <v>3.07</v>
      </c>
      <c r="AW35" s="50">
        <v>9554</v>
      </c>
      <c r="AX35" s="52" t="s">
        <v>213</v>
      </c>
      <c r="AY35" s="50">
        <v>77</v>
      </c>
      <c r="AZ35" s="56">
        <v>18.899999999999999</v>
      </c>
      <c r="BA35" s="50">
        <v>110</v>
      </c>
      <c r="BB35" s="52" t="s">
        <v>213</v>
      </c>
      <c r="BC35" s="50">
        <v>311</v>
      </c>
      <c r="BD35" s="50">
        <v>299</v>
      </c>
      <c r="BE35" s="51">
        <f t="shared" si="8"/>
        <v>610</v>
      </c>
      <c r="BF35" s="50">
        <v>560</v>
      </c>
      <c r="BG35" s="50">
        <v>50</v>
      </c>
      <c r="BH35" s="48" t="s">
        <v>210</v>
      </c>
      <c r="BI35" s="57">
        <f t="shared" si="9"/>
        <v>91.803278688524586</v>
      </c>
      <c r="BJ35" s="57">
        <f t="shared" si="9"/>
        <v>8.1967213114754092</v>
      </c>
      <c r="BK35" s="57">
        <f t="shared" si="0"/>
        <v>50.983606557377051</v>
      </c>
      <c r="BL35" s="57">
        <f t="shared" si="0"/>
        <v>49.016393442622949</v>
      </c>
      <c r="BM35" s="50">
        <v>961</v>
      </c>
      <c r="BN35" s="50">
        <v>945</v>
      </c>
      <c r="BO35" s="50">
        <v>960</v>
      </c>
      <c r="BP35" s="48" t="s">
        <v>210</v>
      </c>
      <c r="BQ35" s="56">
        <v>11.7</v>
      </c>
      <c r="BR35" s="56">
        <v>24.6</v>
      </c>
      <c r="BS35" s="56">
        <v>12.6</v>
      </c>
      <c r="BT35" s="48" t="s">
        <v>214</v>
      </c>
      <c r="BU35" s="50">
        <v>232</v>
      </c>
      <c r="BV35" s="50">
        <v>261</v>
      </c>
      <c r="BW35" s="56">
        <v>1.4537090363422613</v>
      </c>
      <c r="BX35" s="50">
        <v>38</v>
      </c>
      <c r="BY35" s="50">
        <v>37</v>
      </c>
      <c r="BZ35" s="50">
        <v>75</v>
      </c>
      <c r="CA35" s="48" t="s">
        <v>210</v>
      </c>
      <c r="CB35" s="50">
        <v>345</v>
      </c>
      <c r="CC35" s="50">
        <v>335</v>
      </c>
      <c r="CD35" s="51">
        <f t="shared" si="10"/>
        <v>680</v>
      </c>
      <c r="CE35" s="52" t="s">
        <v>215</v>
      </c>
      <c r="CF35" s="56">
        <v>811.61</v>
      </c>
      <c r="CG35" s="56">
        <v>0</v>
      </c>
      <c r="CH35" s="56">
        <v>3.48</v>
      </c>
      <c r="CI35" s="56">
        <v>0.67</v>
      </c>
      <c r="CJ35" s="56">
        <v>22.08</v>
      </c>
      <c r="CK35" s="56">
        <v>1.63</v>
      </c>
      <c r="CL35" s="56">
        <v>1.87</v>
      </c>
      <c r="CM35" s="56">
        <v>1.65</v>
      </c>
      <c r="CN35" s="59">
        <v>4.21</v>
      </c>
      <c r="CO35" s="59">
        <v>1.85</v>
      </c>
      <c r="CP35" s="59">
        <v>0</v>
      </c>
      <c r="CQ35" s="55">
        <v>5.29</v>
      </c>
      <c r="CR35" s="55">
        <v>1.51</v>
      </c>
      <c r="CS35" s="60" t="s">
        <v>216</v>
      </c>
      <c r="CT35" s="50">
        <v>43</v>
      </c>
      <c r="CU35" s="50">
        <v>3</v>
      </c>
      <c r="CV35" s="50">
        <v>13</v>
      </c>
      <c r="CW35" s="50">
        <v>8</v>
      </c>
      <c r="CX35" s="50">
        <v>20</v>
      </c>
      <c r="CY35" s="50">
        <v>12</v>
      </c>
      <c r="CZ35" s="50">
        <v>0</v>
      </c>
      <c r="DA35" s="50">
        <v>7</v>
      </c>
      <c r="DB35" s="50">
        <v>128</v>
      </c>
      <c r="DC35" s="60" t="s">
        <v>216</v>
      </c>
      <c r="DD35" s="56">
        <v>14.3</v>
      </c>
      <c r="DE35" s="56">
        <v>5.85</v>
      </c>
      <c r="DF35" s="56">
        <v>1.1000000000000001</v>
      </c>
      <c r="DG35" s="56">
        <v>31.81</v>
      </c>
      <c r="DH35" s="56">
        <v>85.33</v>
      </c>
      <c r="DI35" s="60" t="s">
        <v>216</v>
      </c>
      <c r="DJ35" s="56">
        <v>76.349999999999994</v>
      </c>
      <c r="DK35" s="56">
        <v>47.804000000000002</v>
      </c>
      <c r="DL35" s="56">
        <v>37.158999999999999</v>
      </c>
      <c r="DM35" s="56">
        <v>485.83600000000001</v>
      </c>
      <c r="DN35" s="56">
        <v>1970.318</v>
      </c>
      <c r="DO35" s="56" t="s">
        <v>217</v>
      </c>
      <c r="DP35" s="56" t="s">
        <v>217</v>
      </c>
      <c r="DQ35" s="56" t="s">
        <v>217</v>
      </c>
      <c r="DR35" s="56" t="s">
        <v>217</v>
      </c>
      <c r="DS35" s="56">
        <v>26.3</v>
      </c>
      <c r="DT35" s="48" t="s">
        <v>213</v>
      </c>
      <c r="DU35" s="56">
        <v>74</v>
      </c>
      <c r="DV35" s="49">
        <v>5</v>
      </c>
      <c r="DW35" s="48" t="s">
        <v>213</v>
      </c>
      <c r="DX35" s="49">
        <v>454</v>
      </c>
      <c r="DY35" s="49">
        <v>45061</v>
      </c>
      <c r="DZ35" s="49">
        <v>15</v>
      </c>
      <c r="EA35" s="49">
        <v>383</v>
      </c>
      <c r="EB35" s="49">
        <v>28736</v>
      </c>
      <c r="EC35" s="49">
        <v>12</v>
      </c>
      <c r="ED35" s="49">
        <v>135</v>
      </c>
      <c r="EE35" s="49">
        <v>18106</v>
      </c>
      <c r="EF35" s="49">
        <v>18</v>
      </c>
      <c r="EG35" s="49">
        <v>58</v>
      </c>
      <c r="EH35" s="49">
        <v>16173</v>
      </c>
      <c r="EI35" s="49">
        <v>38</v>
      </c>
      <c r="EJ35" s="50">
        <v>56</v>
      </c>
      <c r="EK35" s="50">
        <v>21</v>
      </c>
      <c r="EL35" s="56">
        <v>84.4</v>
      </c>
      <c r="EM35" s="56">
        <v>64</v>
      </c>
      <c r="EN35" s="56">
        <v>74.400000000000006</v>
      </c>
      <c r="EO35" s="48" t="s">
        <v>213</v>
      </c>
      <c r="EP35" s="48" t="s">
        <v>210</v>
      </c>
      <c r="EQ35" s="50">
        <v>1</v>
      </c>
      <c r="ER35" s="50">
        <v>0</v>
      </c>
      <c r="ES35" s="50">
        <v>1</v>
      </c>
      <c r="ET35" s="50">
        <v>5</v>
      </c>
      <c r="EU35" s="50">
        <v>20</v>
      </c>
      <c r="EV35" s="50">
        <v>89</v>
      </c>
      <c r="EW35" s="50">
        <v>7</v>
      </c>
      <c r="EX35" s="50">
        <v>222</v>
      </c>
      <c r="EY35" s="50">
        <v>14</v>
      </c>
      <c r="EZ35" s="50">
        <v>5</v>
      </c>
      <c r="FA35" s="61">
        <v>45352</v>
      </c>
      <c r="FB35" s="50">
        <v>86</v>
      </c>
      <c r="FC35" s="50">
        <v>856</v>
      </c>
      <c r="FD35" s="50">
        <v>87</v>
      </c>
      <c r="FE35" s="56">
        <v>3546.1440626409999</v>
      </c>
      <c r="FF35" s="56">
        <v>2818.5381464715597</v>
      </c>
      <c r="FG35" s="61">
        <v>45717</v>
      </c>
      <c r="FH35" s="50">
        <v>10</v>
      </c>
      <c r="FI35" s="49">
        <v>42</v>
      </c>
      <c r="FJ35" s="48" t="s">
        <v>213</v>
      </c>
      <c r="FK35" s="49">
        <v>112333</v>
      </c>
      <c r="FL35" s="49">
        <v>2570</v>
      </c>
      <c r="FM35" s="49">
        <v>44787</v>
      </c>
      <c r="FN35" s="49">
        <v>108787</v>
      </c>
      <c r="FO35" s="49">
        <v>738</v>
      </c>
      <c r="FP35" s="49">
        <v>354398</v>
      </c>
      <c r="FQ35" s="48" t="s">
        <v>218</v>
      </c>
      <c r="FR35" s="53">
        <v>32.580000000000005</v>
      </c>
      <c r="FS35" s="53">
        <v>1544.4</v>
      </c>
      <c r="FT35" s="53">
        <v>4.25</v>
      </c>
      <c r="FU35" s="48" t="s">
        <v>213</v>
      </c>
      <c r="FV35" s="50">
        <v>13230</v>
      </c>
      <c r="FW35" s="50">
        <v>0</v>
      </c>
      <c r="FX35" s="51">
        <f t="shared" si="11"/>
        <v>13230</v>
      </c>
      <c r="FY35" s="50">
        <v>0</v>
      </c>
      <c r="FZ35" s="51">
        <f t="shared" si="12"/>
        <v>13230</v>
      </c>
      <c r="GA35" s="48" t="s">
        <v>213</v>
      </c>
      <c r="GB35" s="49">
        <v>5790</v>
      </c>
      <c r="GC35" s="53">
        <v>18545</v>
      </c>
      <c r="GD35" s="49">
        <v>6096</v>
      </c>
      <c r="GE35" s="49">
        <v>19914.36</v>
      </c>
      <c r="GF35" s="54">
        <f t="shared" si="13"/>
        <v>105.28497409326425</v>
      </c>
      <c r="GG35" s="54">
        <f t="shared" si="13"/>
        <v>107.38398490159074</v>
      </c>
      <c r="GH35" s="48" t="s">
        <v>219</v>
      </c>
    </row>
    <row r="36" spans="1:190" ht="21.6" x14ac:dyDescent="0.3">
      <c r="A36" s="48">
        <v>30</v>
      </c>
      <c r="B36" s="48">
        <v>2026</v>
      </c>
      <c r="C36" s="49" t="s">
        <v>250</v>
      </c>
      <c r="D36" s="50">
        <v>9712</v>
      </c>
      <c r="E36" s="49">
        <v>3</v>
      </c>
      <c r="F36" s="49">
        <v>18</v>
      </c>
      <c r="G36" s="49">
        <v>17</v>
      </c>
      <c r="H36" s="49">
        <v>17</v>
      </c>
      <c r="I36" s="49">
        <v>4</v>
      </c>
      <c r="J36" s="49">
        <v>0</v>
      </c>
      <c r="K36" s="49">
        <v>48</v>
      </c>
      <c r="L36" s="49">
        <v>279</v>
      </c>
      <c r="M36" s="49">
        <v>18</v>
      </c>
      <c r="N36" s="49">
        <v>7</v>
      </c>
      <c r="O36" s="50">
        <v>1713</v>
      </c>
      <c r="P36" s="50">
        <v>49</v>
      </c>
      <c r="Q36" s="51">
        <f t="shared" si="14"/>
        <v>1762</v>
      </c>
      <c r="R36" s="52" t="s">
        <v>210</v>
      </c>
      <c r="S36" s="53">
        <v>17.170000000000002</v>
      </c>
      <c r="T36" s="53">
        <v>6.85</v>
      </c>
      <c r="U36" s="54">
        <f t="shared" si="1"/>
        <v>24.020000000000003</v>
      </c>
      <c r="V36" s="53">
        <v>14.47</v>
      </c>
      <c r="W36" s="53">
        <v>1.05</v>
      </c>
      <c r="X36" s="54">
        <f t="shared" si="2"/>
        <v>15.520000000000001</v>
      </c>
      <c r="Y36" s="53">
        <v>8.9600000000000009</v>
      </c>
      <c r="Z36" s="53">
        <v>2.65</v>
      </c>
      <c r="AA36" s="54">
        <f t="shared" si="3"/>
        <v>11.610000000000001</v>
      </c>
      <c r="AB36" s="53">
        <v>70.25</v>
      </c>
      <c r="AC36" s="53">
        <v>39.46</v>
      </c>
      <c r="AD36" s="54">
        <f t="shared" si="4"/>
        <v>109.71000000000001</v>
      </c>
      <c r="AE36" s="55">
        <v>30.13</v>
      </c>
      <c r="AF36" s="55">
        <v>23.66</v>
      </c>
      <c r="AG36" s="54">
        <f t="shared" si="5"/>
        <v>53.79</v>
      </c>
      <c r="AH36" s="54">
        <f t="shared" si="6"/>
        <v>140.97999999999999</v>
      </c>
      <c r="AI36" s="54">
        <f t="shared" si="6"/>
        <v>73.67</v>
      </c>
      <c r="AJ36" s="54">
        <f t="shared" si="6"/>
        <v>214.65</v>
      </c>
      <c r="AK36" s="48" t="s">
        <v>211</v>
      </c>
      <c r="AL36" s="56">
        <v>1300.5999999999999</v>
      </c>
      <c r="AM36" s="56">
        <v>1147.1182352941178</v>
      </c>
      <c r="AN36" s="57">
        <f t="shared" si="7"/>
        <v>-153.48176470588214</v>
      </c>
      <c r="AO36" s="58" t="s">
        <v>212</v>
      </c>
      <c r="AP36" s="50">
        <v>12596</v>
      </c>
      <c r="AQ36" s="56">
        <v>42844.069259999997</v>
      </c>
      <c r="AR36" s="50">
        <v>118757</v>
      </c>
      <c r="AS36" s="52" t="s">
        <v>213</v>
      </c>
      <c r="AT36" s="50">
        <v>45</v>
      </c>
      <c r="AU36" s="56">
        <v>35.49</v>
      </c>
      <c r="AV36" s="56">
        <v>0.23</v>
      </c>
      <c r="AW36" s="50">
        <v>90</v>
      </c>
      <c r="AX36" s="52" t="s">
        <v>213</v>
      </c>
      <c r="AY36" s="50">
        <v>89</v>
      </c>
      <c r="AZ36" s="56">
        <v>36.07</v>
      </c>
      <c r="BA36" s="50">
        <v>90</v>
      </c>
      <c r="BB36" s="52" t="s">
        <v>213</v>
      </c>
      <c r="BC36" s="50">
        <v>1061</v>
      </c>
      <c r="BD36" s="50">
        <v>1032</v>
      </c>
      <c r="BE36" s="51">
        <f t="shared" si="8"/>
        <v>2093</v>
      </c>
      <c r="BF36" s="50">
        <v>1355</v>
      </c>
      <c r="BG36" s="50">
        <v>738</v>
      </c>
      <c r="BH36" s="48" t="s">
        <v>210</v>
      </c>
      <c r="BI36" s="57">
        <f t="shared" si="9"/>
        <v>64.739608217869076</v>
      </c>
      <c r="BJ36" s="57">
        <f t="shared" si="9"/>
        <v>35.26039178213091</v>
      </c>
      <c r="BK36" s="57">
        <f t="shared" si="0"/>
        <v>50.692785475394174</v>
      </c>
      <c r="BL36" s="57">
        <f t="shared" si="0"/>
        <v>49.307214524605833</v>
      </c>
      <c r="BM36" s="50">
        <v>1005</v>
      </c>
      <c r="BN36" s="50">
        <v>917</v>
      </c>
      <c r="BO36" s="50">
        <v>973</v>
      </c>
      <c r="BP36" s="48" t="s">
        <v>210</v>
      </c>
      <c r="BQ36" s="56">
        <v>12.8</v>
      </c>
      <c r="BR36" s="56">
        <v>17.3</v>
      </c>
      <c r="BS36" s="56">
        <v>14.4</v>
      </c>
      <c r="BT36" s="48" t="s">
        <v>214</v>
      </c>
      <c r="BU36" s="50">
        <v>188</v>
      </c>
      <c r="BV36" s="50">
        <v>216</v>
      </c>
      <c r="BW36" s="56">
        <v>4.9874353823578081</v>
      </c>
      <c r="BX36" s="50">
        <v>135</v>
      </c>
      <c r="BY36" s="50">
        <v>128</v>
      </c>
      <c r="BZ36" s="50">
        <v>263</v>
      </c>
      <c r="CA36" s="48" t="s">
        <v>210</v>
      </c>
      <c r="CB36" s="50">
        <v>1177</v>
      </c>
      <c r="CC36" s="50">
        <v>1159</v>
      </c>
      <c r="CD36" s="51">
        <f t="shared" si="10"/>
        <v>2336</v>
      </c>
      <c r="CE36" s="52" t="s">
        <v>215</v>
      </c>
      <c r="CF36" s="56">
        <v>661.74</v>
      </c>
      <c r="CG36" s="56">
        <v>0.67</v>
      </c>
      <c r="CH36" s="56">
        <v>39.340000000000003</v>
      </c>
      <c r="CI36" s="56">
        <v>12.6</v>
      </c>
      <c r="CJ36" s="56">
        <v>10.76</v>
      </c>
      <c r="CK36" s="56">
        <v>7.37</v>
      </c>
      <c r="CL36" s="56">
        <v>15.72</v>
      </c>
      <c r="CM36" s="56">
        <v>4.55</v>
      </c>
      <c r="CN36" s="59">
        <v>14.64</v>
      </c>
      <c r="CO36" s="59">
        <v>11.87</v>
      </c>
      <c r="CP36" s="59">
        <v>0</v>
      </c>
      <c r="CQ36" s="55">
        <v>37.700000000000003</v>
      </c>
      <c r="CR36" s="55">
        <v>3.51</v>
      </c>
      <c r="CS36" s="60" t="s">
        <v>216</v>
      </c>
      <c r="CT36" s="50">
        <v>441</v>
      </c>
      <c r="CU36" s="50">
        <v>25</v>
      </c>
      <c r="CV36" s="50">
        <v>26</v>
      </c>
      <c r="CW36" s="50">
        <v>16</v>
      </c>
      <c r="CX36" s="50">
        <v>59</v>
      </c>
      <c r="CY36" s="50">
        <v>91</v>
      </c>
      <c r="CZ36" s="50">
        <v>40</v>
      </c>
      <c r="DA36" s="50">
        <v>0</v>
      </c>
      <c r="DB36" s="50">
        <v>273</v>
      </c>
      <c r="DC36" s="60" t="s">
        <v>216</v>
      </c>
      <c r="DD36" s="56">
        <v>8.35</v>
      </c>
      <c r="DE36" s="56">
        <v>4.32</v>
      </c>
      <c r="DF36" s="56">
        <v>1.35</v>
      </c>
      <c r="DG36" s="56">
        <v>32.11</v>
      </c>
      <c r="DH36" s="56">
        <v>37.14</v>
      </c>
      <c r="DI36" s="60" t="s">
        <v>216</v>
      </c>
      <c r="DJ36" s="56">
        <v>227.64</v>
      </c>
      <c r="DK36" s="56">
        <v>257.24400000000003</v>
      </c>
      <c r="DL36" s="56">
        <v>244.10400000000001</v>
      </c>
      <c r="DM36" s="56">
        <v>833.01199999999994</v>
      </c>
      <c r="DN36" s="56">
        <v>5825.1350000000002</v>
      </c>
      <c r="DO36" s="56" t="s">
        <v>217</v>
      </c>
      <c r="DP36" s="56" t="s">
        <v>217</v>
      </c>
      <c r="DQ36" s="56" t="s">
        <v>217</v>
      </c>
      <c r="DR36" s="56" t="s">
        <v>217</v>
      </c>
      <c r="DS36" s="56">
        <v>677.55</v>
      </c>
      <c r="DT36" s="48" t="s">
        <v>213</v>
      </c>
      <c r="DU36" s="56">
        <v>328</v>
      </c>
      <c r="DV36" s="49">
        <v>26</v>
      </c>
      <c r="DW36" s="48" t="s">
        <v>213</v>
      </c>
      <c r="DX36" s="49">
        <v>1419</v>
      </c>
      <c r="DY36" s="49">
        <v>150929</v>
      </c>
      <c r="DZ36" s="49">
        <v>16</v>
      </c>
      <c r="EA36" s="49">
        <v>855</v>
      </c>
      <c r="EB36" s="49">
        <v>103322</v>
      </c>
      <c r="EC36" s="49">
        <v>20</v>
      </c>
      <c r="ED36" s="49">
        <v>417</v>
      </c>
      <c r="EE36" s="49">
        <v>62205</v>
      </c>
      <c r="EF36" s="49">
        <v>16</v>
      </c>
      <c r="EG36" s="49">
        <v>158</v>
      </c>
      <c r="EH36" s="49">
        <v>45878</v>
      </c>
      <c r="EI36" s="49">
        <v>34</v>
      </c>
      <c r="EJ36" s="50">
        <v>115</v>
      </c>
      <c r="EK36" s="50">
        <v>40</v>
      </c>
      <c r="EL36" s="56">
        <v>81</v>
      </c>
      <c r="EM36" s="56">
        <v>65.5</v>
      </c>
      <c r="EN36" s="56">
        <v>73.3</v>
      </c>
      <c r="EO36" s="48" t="s">
        <v>213</v>
      </c>
      <c r="EP36" s="48" t="s">
        <v>210</v>
      </c>
      <c r="EQ36" s="50">
        <v>2</v>
      </c>
      <c r="ER36" s="50">
        <v>1</v>
      </c>
      <c r="ES36" s="50">
        <v>1</v>
      </c>
      <c r="ET36" s="50">
        <v>21</v>
      </c>
      <c r="EU36" s="50">
        <v>72</v>
      </c>
      <c r="EV36" s="50">
        <v>390</v>
      </c>
      <c r="EW36" s="50">
        <v>14</v>
      </c>
      <c r="EX36" s="50">
        <v>763</v>
      </c>
      <c r="EY36" s="50">
        <v>33</v>
      </c>
      <c r="EZ36" s="50">
        <v>25</v>
      </c>
      <c r="FA36" s="61">
        <v>45352</v>
      </c>
      <c r="FB36" s="50">
        <v>436</v>
      </c>
      <c r="FC36" s="50">
        <v>1713</v>
      </c>
      <c r="FD36" s="50">
        <v>297</v>
      </c>
      <c r="FE36" s="56">
        <v>33555.216895396909</v>
      </c>
      <c r="FF36" s="56">
        <v>22419.004646364931</v>
      </c>
      <c r="FG36" s="61">
        <v>45717</v>
      </c>
      <c r="FH36" s="50">
        <v>30</v>
      </c>
      <c r="FI36" s="49">
        <v>127</v>
      </c>
      <c r="FJ36" s="48" t="s">
        <v>213</v>
      </c>
      <c r="FK36" s="49">
        <v>459733</v>
      </c>
      <c r="FL36" s="49">
        <v>17094</v>
      </c>
      <c r="FM36" s="49">
        <v>21158</v>
      </c>
      <c r="FN36" s="49">
        <v>576052</v>
      </c>
      <c r="FO36" s="49">
        <v>30219</v>
      </c>
      <c r="FP36" s="49">
        <v>1449266</v>
      </c>
      <c r="FQ36" s="48" t="s">
        <v>218</v>
      </c>
      <c r="FR36" s="53">
        <v>57.25</v>
      </c>
      <c r="FS36" s="53">
        <v>511.49536667668531</v>
      </c>
      <c r="FT36" s="53">
        <v>7.34</v>
      </c>
      <c r="FU36" s="48" t="s">
        <v>213</v>
      </c>
      <c r="FV36" s="50">
        <v>22245</v>
      </c>
      <c r="FW36" s="50">
        <v>0</v>
      </c>
      <c r="FX36" s="51">
        <f t="shared" si="11"/>
        <v>22245</v>
      </c>
      <c r="FY36" s="50">
        <v>0</v>
      </c>
      <c r="FZ36" s="51">
        <f t="shared" si="12"/>
        <v>22245</v>
      </c>
      <c r="GA36" s="48" t="s">
        <v>213</v>
      </c>
      <c r="GB36" s="49">
        <v>17500</v>
      </c>
      <c r="GC36" s="53">
        <v>65010</v>
      </c>
      <c r="GD36" s="49">
        <v>18223</v>
      </c>
      <c r="GE36" s="49">
        <v>67594.36</v>
      </c>
      <c r="GF36" s="54">
        <f t="shared" si="13"/>
        <v>104.13142857142856</v>
      </c>
      <c r="GG36" s="54">
        <f t="shared" si="13"/>
        <v>103.97532687278881</v>
      </c>
      <c r="GH36" s="48" t="s">
        <v>219</v>
      </c>
    </row>
    <row r="37" spans="1:190" ht="21.6" x14ac:dyDescent="0.3">
      <c r="A37" s="48">
        <v>31</v>
      </c>
      <c r="B37" s="48">
        <v>2026</v>
      </c>
      <c r="C37" s="49" t="s">
        <v>251</v>
      </c>
      <c r="D37" s="50">
        <v>155707</v>
      </c>
      <c r="E37" s="49">
        <v>58</v>
      </c>
      <c r="F37" s="49">
        <v>317</v>
      </c>
      <c r="G37" s="49">
        <v>314</v>
      </c>
      <c r="H37" s="49">
        <v>119</v>
      </c>
      <c r="I37" s="49">
        <v>53</v>
      </c>
      <c r="J37" s="49">
        <v>62</v>
      </c>
      <c r="K37" s="49">
        <v>684</v>
      </c>
      <c r="L37" s="49">
        <v>6794</v>
      </c>
      <c r="M37" s="49">
        <v>342</v>
      </c>
      <c r="N37" s="49">
        <v>147</v>
      </c>
      <c r="O37" s="50">
        <v>47677</v>
      </c>
      <c r="P37" s="50">
        <v>3636</v>
      </c>
      <c r="Q37" s="51">
        <f t="shared" si="14"/>
        <v>51313</v>
      </c>
      <c r="R37" s="52" t="s">
        <v>210</v>
      </c>
      <c r="S37" s="53">
        <v>1086.74</v>
      </c>
      <c r="T37" s="53">
        <v>974.45</v>
      </c>
      <c r="U37" s="54">
        <f t="shared" si="1"/>
        <v>2061.19</v>
      </c>
      <c r="V37" s="53">
        <v>179.7</v>
      </c>
      <c r="W37" s="53">
        <v>30.21</v>
      </c>
      <c r="X37" s="54">
        <f t="shared" si="2"/>
        <v>209.91</v>
      </c>
      <c r="Y37" s="53">
        <v>355.07</v>
      </c>
      <c r="Z37" s="53">
        <v>39.93</v>
      </c>
      <c r="AA37" s="54">
        <f t="shared" si="3"/>
        <v>395</v>
      </c>
      <c r="AB37" s="54">
        <v>919.24</v>
      </c>
      <c r="AC37" s="53">
        <v>607.44000000000005</v>
      </c>
      <c r="AD37" s="54">
        <f t="shared" si="4"/>
        <v>1526.68</v>
      </c>
      <c r="AE37" s="55">
        <v>728.46</v>
      </c>
      <c r="AF37" s="55">
        <v>581.86</v>
      </c>
      <c r="AG37" s="54">
        <f t="shared" si="5"/>
        <v>1310.3200000000002</v>
      </c>
      <c r="AH37" s="54">
        <f t="shared" si="6"/>
        <v>3269.21</v>
      </c>
      <c r="AI37" s="54">
        <f t="shared" si="6"/>
        <v>2233.8900000000003</v>
      </c>
      <c r="AJ37" s="54">
        <f t="shared" si="6"/>
        <v>5503.1</v>
      </c>
      <c r="AK37" s="48" t="s">
        <v>211</v>
      </c>
      <c r="AL37" s="56">
        <v>1438.6</v>
      </c>
      <c r="AM37" s="56">
        <v>1362.6574554446099</v>
      </c>
      <c r="AN37" s="57">
        <f t="shared" si="7"/>
        <v>-75.942544555389986</v>
      </c>
      <c r="AO37" s="58" t="s">
        <v>212</v>
      </c>
      <c r="AP37" s="50">
        <v>281037</v>
      </c>
      <c r="AQ37" s="56">
        <v>786180.78796999995</v>
      </c>
      <c r="AR37" s="50">
        <v>2132747</v>
      </c>
      <c r="AS37" s="52" t="s">
        <v>213</v>
      </c>
      <c r="AT37" s="50">
        <v>41672</v>
      </c>
      <c r="AU37" s="56">
        <v>6062.8000000000011</v>
      </c>
      <c r="AV37" s="56">
        <v>86</v>
      </c>
      <c r="AW37" s="50">
        <v>81950</v>
      </c>
      <c r="AX37" s="52" t="s">
        <v>213</v>
      </c>
      <c r="AY37" s="50">
        <v>8555</v>
      </c>
      <c r="AZ37" s="56">
        <v>6590.29</v>
      </c>
      <c r="BA37" s="50">
        <v>13981</v>
      </c>
      <c r="BB37" s="52" t="s">
        <v>213</v>
      </c>
      <c r="BC37" s="50">
        <v>21212</v>
      </c>
      <c r="BD37" s="50">
        <v>20762</v>
      </c>
      <c r="BE37" s="51">
        <f t="shared" si="8"/>
        <v>41974</v>
      </c>
      <c r="BF37" s="50">
        <v>34971</v>
      </c>
      <c r="BG37" s="50">
        <v>7003</v>
      </c>
      <c r="BH37" s="48" t="s">
        <v>210</v>
      </c>
      <c r="BI37" s="57">
        <f t="shared" si="9"/>
        <v>83.315862200409768</v>
      </c>
      <c r="BJ37" s="57">
        <f t="shared" si="9"/>
        <v>16.684137799590225</v>
      </c>
      <c r="BK37" s="57">
        <f t="shared" si="0"/>
        <v>50.536046123790925</v>
      </c>
      <c r="BL37" s="57">
        <f t="shared" si="0"/>
        <v>49.463953876209082</v>
      </c>
      <c r="BM37" s="50">
        <v>989</v>
      </c>
      <c r="BN37" s="50">
        <v>932</v>
      </c>
      <c r="BO37" s="50">
        <v>979</v>
      </c>
      <c r="BP37" s="48" t="s">
        <v>210</v>
      </c>
      <c r="BQ37" s="56">
        <v>11.8</v>
      </c>
      <c r="BR37" s="56">
        <v>26.9</v>
      </c>
      <c r="BS37" s="56">
        <v>14</v>
      </c>
      <c r="BT37" s="48" t="s">
        <v>214</v>
      </c>
      <c r="BU37" s="50">
        <v>236</v>
      </c>
      <c r="BV37" s="50">
        <v>270</v>
      </c>
      <c r="BW37" s="56">
        <v>100</v>
      </c>
      <c r="BX37" s="50">
        <v>2716</v>
      </c>
      <c r="BY37" s="50">
        <v>2557</v>
      </c>
      <c r="BZ37" s="50">
        <v>5273</v>
      </c>
      <c r="CA37" s="48" t="s">
        <v>210</v>
      </c>
      <c r="CB37" s="50">
        <v>23552</v>
      </c>
      <c r="CC37" s="50">
        <v>23302</v>
      </c>
      <c r="CD37" s="51">
        <f t="shared" si="10"/>
        <v>46854</v>
      </c>
      <c r="CE37" s="52" t="s">
        <v>215</v>
      </c>
      <c r="CF37" s="56">
        <f t="shared" ref="CF37:CR37" si="15">SUM(CF7:CF36)</f>
        <v>17977.240000000002</v>
      </c>
      <c r="CG37" s="56">
        <f t="shared" si="15"/>
        <v>2.5600000000000005</v>
      </c>
      <c r="CH37" s="56">
        <f t="shared" si="15"/>
        <v>1173.28</v>
      </c>
      <c r="CI37" s="56">
        <f t="shared" si="15"/>
        <v>307.86</v>
      </c>
      <c r="CJ37" s="56">
        <f t="shared" si="15"/>
        <v>700.13</v>
      </c>
      <c r="CK37" s="56">
        <f t="shared" si="15"/>
        <v>290.20000000000005</v>
      </c>
      <c r="CL37" s="56">
        <f t="shared" si="15"/>
        <v>124.13</v>
      </c>
      <c r="CM37" s="56">
        <f t="shared" si="15"/>
        <v>64.63</v>
      </c>
      <c r="CN37" s="56">
        <f t="shared" si="15"/>
        <v>418.26</v>
      </c>
      <c r="CO37" s="56">
        <f t="shared" si="15"/>
        <v>76.050000000000011</v>
      </c>
      <c r="CP37" s="56">
        <f t="shared" si="15"/>
        <v>62.430000000000007</v>
      </c>
      <c r="CQ37" s="53">
        <f t="shared" si="15"/>
        <v>488.70000000000005</v>
      </c>
      <c r="CR37" s="53">
        <f t="shared" si="15"/>
        <v>1453.0300000000002</v>
      </c>
      <c r="CS37" s="60" t="s">
        <v>216</v>
      </c>
      <c r="CT37" s="50">
        <f t="shared" ref="CT37:DB37" si="16">SUM(CT7:CT36)</f>
        <v>6120</v>
      </c>
      <c r="CU37" s="50">
        <f t="shared" si="16"/>
        <v>342</v>
      </c>
      <c r="CV37" s="50">
        <f t="shared" si="16"/>
        <v>493</v>
      </c>
      <c r="CW37" s="50">
        <f t="shared" si="16"/>
        <v>373</v>
      </c>
      <c r="CX37" s="50">
        <f t="shared" si="16"/>
        <v>1114</v>
      </c>
      <c r="CY37" s="50">
        <f t="shared" si="16"/>
        <v>720</v>
      </c>
      <c r="CZ37" s="50">
        <f t="shared" si="16"/>
        <v>551</v>
      </c>
      <c r="DA37" s="50">
        <f t="shared" si="16"/>
        <v>229</v>
      </c>
      <c r="DB37" s="50">
        <f t="shared" si="16"/>
        <v>5629</v>
      </c>
      <c r="DC37" s="60" t="s">
        <v>216</v>
      </c>
      <c r="DD37" s="56">
        <v>426.33</v>
      </c>
      <c r="DE37" s="56">
        <v>199.36</v>
      </c>
      <c r="DF37" s="56">
        <v>51.3</v>
      </c>
      <c r="DG37" s="56">
        <v>1333.32</v>
      </c>
      <c r="DH37" s="56">
        <v>78.209999999999994</v>
      </c>
      <c r="DI37" s="60" t="s">
        <v>216</v>
      </c>
      <c r="DJ37" s="56">
        <f>SUM(DJ7:DJ36)</f>
        <v>5439.19</v>
      </c>
      <c r="DK37" s="56">
        <f>SUM(DK7:DK36)</f>
        <v>4094.0050000000006</v>
      </c>
      <c r="DL37" s="56">
        <f>SUM(DL7:DL36)</f>
        <v>2631.9169999999999</v>
      </c>
      <c r="DM37" s="56">
        <f>SUM(DM7:DM36)</f>
        <v>22875.879000000001</v>
      </c>
      <c r="DN37" s="56">
        <f>SUM(DN7:DN36)</f>
        <v>107562.516</v>
      </c>
      <c r="DO37" s="56" t="s">
        <v>217</v>
      </c>
      <c r="DP37" s="56" t="s">
        <v>217</v>
      </c>
      <c r="DQ37" s="56" t="s">
        <v>217</v>
      </c>
      <c r="DR37" s="56" t="s">
        <v>217</v>
      </c>
      <c r="DS37" s="56">
        <v>7651.5900000000011</v>
      </c>
      <c r="DT37" s="48" t="s">
        <v>213</v>
      </c>
      <c r="DU37" s="56">
        <f>SUM(DU7:DU36)</f>
        <v>3243</v>
      </c>
      <c r="DV37" s="49">
        <f>SUM(DV7:DV36)</f>
        <v>348</v>
      </c>
      <c r="DW37" s="48" t="s">
        <v>213</v>
      </c>
      <c r="DX37" s="49">
        <v>28407</v>
      </c>
      <c r="DY37" s="49">
        <v>3260825</v>
      </c>
      <c r="DZ37" s="49">
        <v>16</v>
      </c>
      <c r="EA37" s="49">
        <v>20852</v>
      </c>
      <c r="EB37" s="49">
        <v>2115731</v>
      </c>
      <c r="EC37" s="49">
        <v>15</v>
      </c>
      <c r="ED37" s="49">
        <v>9332</v>
      </c>
      <c r="EE37" s="49">
        <v>1258350</v>
      </c>
      <c r="EF37" s="49">
        <v>16</v>
      </c>
      <c r="EG37" s="49">
        <v>2974</v>
      </c>
      <c r="EH37" s="49">
        <v>919552</v>
      </c>
      <c r="EI37" s="49">
        <v>37</v>
      </c>
      <c r="EJ37" s="50">
        <f>SUM(EJ7:EJ36)</f>
        <v>2551</v>
      </c>
      <c r="EK37" s="50">
        <f>SUM(EK7:EK36)</f>
        <v>1058</v>
      </c>
      <c r="EL37" s="56">
        <v>81.599999999999994</v>
      </c>
      <c r="EM37" s="56">
        <v>64</v>
      </c>
      <c r="EN37" s="56">
        <v>72.900000000000006</v>
      </c>
      <c r="EO37" s="48" t="s">
        <v>213</v>
      </c>
      <c r="EP37" s="48" t="s">
        <v>210</v>
      </c>
      <c r="EQ37" s="50">
        <f>SUM(EQ7:EQ36)</f>
        <v>32</v>
      </c>
      <c r="ER37" s="50">
        <f>SUM(ER7:ER36)</f>
        <v>14</v>
      </c>
      <c r="ES37" s="50">
        <f t="shared" ref="ES37:EZ37" si="17">SUM(ES7:ES36)</f>
        <v>33</v>
      </c>
      <c r="ET37" s="50">
        <f t="shared" si="17"/>
        <v>383</v>
      </c>
      <c r="EU37" s="50">
        <f t="shared" si="17"/>
        <v>1405</v>
      </c>
      <c r="EV37" s="50">
        <f t="shared" si="17"/>
        <v>6688</v>
      </c>
      <c r="EW37" s="50">
        <f t="shared" si="17"/>
        <v>199</v>
      </c>
      <c r="EX37" s="50">
        <f t="shared" si="17"/>
        <v>18387</v>
      </c>
      <c r="EY37" s="50">
        <f t="shared" si="17"/>
        <v>634</v>
      </c>
      <c r="EZ37" s="50">
        <f t="shared" si="17"/>
        <v>566</v>
      </c>
      <c r="FA37" s="61">
        <v>45352</v>
      </c>
      <c r="FB37" s="50">
        <v>8912</v>
      </c>
      <c r="FC37" s="50">
        <v>47677</v>
      </c>
      <c r="FD37" s="50">
        <v>6162</v>
      </c>
      <c r="FE37" s="56">
        <v>597999.41050448315</v>
      </c>
      <c r="FF37" s="56">
        <v>429543.01107569609</v>
      </c>
      <c r="FG37" s="61">
        <v>45717</v>
      </c>
      <c r="FH37" s="50">
        <v>541</v>
      </c>
      <c r="FI37" s="49">
        <v>3239</v>
      </c>
      <c r="FJ37" s="48" t="s">
        <v>213</v>
      </c>
      <c r="FK37" s="49">
        <v>9903970</v>
      </c>
      <c r="FL37" s="49">
        <v>458324</v>
      </c>
      <c r="FM37" s="49">
        <v>1279149</v>
      </c>
      <c r="FN37" s="49">
        <v>6393452</v>
      </c>
      <c r="FO37" s="49">
        <v>135162</v>
      </c>
      <c r="FP37" s="49">
        <v>27439257</v>
      </c>
      <c r="FQ37" s="48" t="s">
        <v>218</v>
      </c>
      <c r="FR37" s="53">
        <f>SUM(FR7:FR36)</f>
        <v>2712.3199999999997</v>
      </c>
      <c r="FS37" s="53">
        <f>SUM(FS7:FS36)</f>
        <v>40608.685366676691</v>
      </c>
      <c r="FT37" s="53">
        <f>SUM(FT7:FT36)</f>
        <v>277.61</v>
      </c>
      <c r="FU37" s="48" t="s">
        <v>213</v>
      </c>
      <c r="FV37" s="50">
        <v>783641</v>
      </c>
      <c r="FW37" s="50">
        <v>168908</v>
      </c>
      <c r="FX37" s="51">
        <f t="shared" si="11"/>
        <v>952549</v>
      </c>
      <c r="FY37" s="50">
        <v>239252</v>
      </c>
      <c r="FZ37" s="51">
        <f t="shared" si="12"/>
        <v>1191801</v>
      </c>
      <c r="GA37" s="48" t="s">
        <v>213</v>
      </c>
      <c r="GB37" s="49">
        <f>SUM(GB7:GB36)</f>
        <v>400000</v>
      </c>
      <c r="GC37" s="53">
        <f>SUM(GC7:GC36)</f>
        <v>1500000.49</v>
      </c>
      <c r="GD37" s="49">
        <f>SUM(GD7:GD36)</f>
        <v>413645</v>
      </c>
      <c r="GE37" s="49">
        <f>SUM(GE7:GE36)</f>
        <v>1658675.6200000003</v>
      </c>
      <c r="GF37" s="54">
        <f>GD37/GB37*100</f>
        <v>103.41125</v>
      </c>
      <c r="GG37" s="54">
        <f>GE37/GC37*100</f>
        <v>110.57833854440943</v>
      </c>
      <c r="GH37" s="48" t="s">
        <v>219</v>
      </c>
    </row>
  </sheetData>
  <mergeCells count="70">
    <mergeCell ref="GD3:GE3"/>
    <mergeCell ref="GF3:GG3"/>
    <mergeCell ref="FD3:FF3"/>
    <mergeCell ref="FH3:FJ3"/>
    <mergeCell ref="FK3:FQ3"/>
    <mergeCell ref="FR3:FU3"/>
    <mergeCell ref="FV3:GA3"/>
    <mergeCell ref="GB3:GC3"/>
    <mergeCell ref="EG3:EI3"/>
    <mergeCell ref="EJ3:EK3"/>
    <mergeCell ref="EL3:EN3"/>
    <mergeCell ref="EQ3:EX3"/>
    <mergeCell ref="EY3:EZ3"/>
    <mergeCell ref="FB3:FC3"/>
    <mergeCell ref="CB3:CE3"/>
    <mergeCell ref="DJ3:DT3"/>
    <mergeCell ref="DU3:DW3"/>
    <mergeCell ref="DX3:DZ3"/>
    <mergeCell ref="EA3:EC3"/>
    <mergeCell ref="ED3:EF3"/>
    <mergeCell ref="Y3:AA3"/>
    <mergeCell ref="AB3:AD3"/>
    <mergeCell ref="AE3:AG3"/>
    <mergeCell ref="AH3:AJ3"/>
    <mergeCell ref="BC3:BH3"/>
    <mergeCell ref="BI3:BL3"/>
    <mergeCell ref="DX2:EP2"/>
    <mergeCell ref="EQ2:FA2"/>
    <mergeCell ref="FB2:FG2"/>
    <mergeCell ref="FH2:FU2"/>
    <mergeCell ref="FV2:GA2"/>
    <mergeCell ref="GB2:GH2"/>
    <mergeCell ref="AY2:BB3"/>
    <mergeCell ref="BC2:CE2"/>
    <mergeCell ref="CF2:CS3"/>
    <mergeCell ref="CT2:DC3"/>
    <mergeCell ref="DD2:DI3"/>
    <mergeCell ref="DJ2:DW2"/>
    <mergeCell ref="BM3:BP3"/>
    <mergeCell ref="BQ3:BT3"/>
    <mergeCell ref="BU3:BW3"/>
    <mergeCell ref="BX3:CA3"/>
    <mergeCell ref="A2:C3"/>
    <mergeCell ref="D2:R2"/>
    <mergeCell ref="S2:AK2"/>
    <mergeCell ref="AL2:AO3"/>
    <mergeCell ref="AP2:AS3"/>
    <mergeCell ref="AT2:AX3"/>
    <mergeCell ref="D3:N3"/>
    <mergeCell ref="O3:R3"/>
    <mergeCell ref="S3:U3"/>
    <mergeCell ref="V3:X3"/>
    <mergeCell ref="DX1:EP1"/>
    <mergeCell ref="EQ1:FA1"/>
    <mergeCell ref="FB1:FG1"/>
    <mergeCell ref="FH1:FU1"/>
    <mergeCell ref="FV1:GA1"/>
    <mergeCell ref="GB1:GH1"/>
    <mergeCell ref="AY1:BB1"/>
    <mergeCell ref="BC1:CE1"/>
    <mergeCell ref="CF1:CS1"/>
    <mergeCell ref="CT1:DC1"/>
    <mergeCell ref="DD1:DI1"/>
    <mergeCell ref="DJ1:DW1"/>
    <mergeCell ref="A1:C1"/>
    <mergeCell ref="D1:R1"/>
    <mergeCell ref="S1:AK1"/>
    <mergeCell ref="AL1:AO1"/>
    <mergeCell ref="AP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Gitanjali Manpower Services</dc:creator>
  <cp:lastModifiedBy>Gitanjali Manpower Services</cp:lastModifiedBy>
  <dcterms:created xsi:type="dcterms:W3CDTF">2026-02-06T09:40:16Z</dcterms:created>
  <dcterms:modified xsi:type="dcterms:W3CDTF">2026-02-06T09:40:47Z</dcterms:modified>
</cp:coreProperties>
</file>